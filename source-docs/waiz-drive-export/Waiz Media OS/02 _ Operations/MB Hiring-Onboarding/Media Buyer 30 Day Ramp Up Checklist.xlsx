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 Ramp Up" sheetId="1" r:id="rId4"/>
  </sheets>
  <definedNames/>
  <calcPr/>
</workbook>
</file>

<file path=xl/sharedStrings.xml><?xml version="1.0" encoding="utf-8"?>
<sst xmlns="http://schemas.openxmlformats.org/spreadsheetml/2006/main" count="92" uniqueCount="49">
  <si>
    <r>
      <rPr>
        <rFont val="Arial"/>
        <b/>
        <color rgb="FF000000"/>
        <sz val="18.0"/>
      </rPr>
      <t xml:space="preserve">30 Day Ramp &amp; Goal - </t>
    </r>
    <r>
      <rPr>
        <rFont val="Arial"/>
        <b val="0"/>
        <color rgb="FF000000"/>
        <sz val="18.0"/>
      </rPr>
      <t>Agenda &amp; Tracker</t>
    </r>
  </si>
  <si>
    <t>MB</t>
  </si>
  <si>
    <t xml:space="preserve">Video Tutorial: </t>
  </si>
  <si>
    <t>Timeframe (Days)</t>
  </si>
  <si>
    <t>Subject</t>
  </si>
  <si>
    <t>Assignment</t>
  </si>
  <si>
    <t>Status</t>
  </si>
  <si>
    <t>Points Available</t>
  </si>
  <si>
    <t>Points Earned</t>
  </si>
  <si>
    <t>Link To Resource</t>
  </si>
  <si>
    <t>Time</t>
  </si>
  <si>
    <t>Completed On</t>
  </si>
  <si>
    <t>Link To Training</t>
  </si>
  <si>
    <t>Onboarding</t>
  </si>
  <si>
    <t>Submit New Hire Onboarding Form</t>
  </si>
  <si>
    <t>Not started</t>
  </si>
  <si>
    <t>Sign and submit Contract</t>
  </si>
  <si>
    <t xml:space="preserve">Login to your new company email </t>
  </si>
  <si>
    <t>Accept All Invites for training and internal team meetings</t>
  </si>
  <si>
    <t>Login to all key platforms: FB, Monday, Slack, Canva, G-Drive...</t>
  </si>
  <si>
    <t>Complete Entire Team &amp; Core Team Training Bootcamp</t>
  </si>
  <si>
    <t>Complete "Fundamentals" Folder in Media Buyer Bootcamp</t>
  </si>
  <si>
    <t>Complete "Process Mastery" Folder in Media Buyer Bootcamp</t>
  </si>
  <si>
    <t>Test</t>
  </si>
  <si>
    <t>3 Days In: Assessment call on company &amp; basic ads knowledge</t>
  </si>
  <si>
    <t>Go through the entire 01: Setting Up New Client Campaigns modules</t>
  </si>
  <si>
    <t xml:space="preserve">Training </t>
  </si>
  <si>
    <t>Start going through 02: Campaign Management training modules</t>
  </si>
  <si>
    <t>Setup a test client campaign and get feedback from your manager (Loom record entire setup or on call)</t>
  </si>
  <si>
    <t>Go through 5 client accounts &amp; put recommended changes on a google doc &amp; get manager feedback</t>
  </si>
  <si>
    <t>7 Days In: 1-1 With Manager - call to cover concerns &amp; questions &amp; QUIZ</t>
  </si>
  <si>
    <t xml:space="preserve">Day 7 </t>
  </si>
  <si>
    <t>Check Point</t>
  </si>
  <si>
    <t>Completed All Onboarding Tasks and understand the campaign setup &amp; management process</t>
  </si>
  <si>
    <t>Listen to 3 client performance call reviews and create google doc w/ takeaways from each</t>
  </si>
  <si>
    <t>Attend first client performance call + take detailled notes</t>
  </si>
  <si>
    <t>Production</t>
  </si>
  <si>
    <t>Setup your first ACTUAL new client campaign (by yourself)</t>
  </si>
  <si>
    <t>Get assigned first 3-5 live client accounts to manage under supervision</t>
  </si>
  <si>
    <t>Ongoing...</t>
  </si>
  <si>
    <t>Manage first 3-5 client accounts independently with daily manager check-ins</t>
  </si>
  <si>
    <t>14 Days In: 1-1 With Manager (Deep dive on managed accounts &amp; changes made)</t>
  </si>
  <si>
    <r>
      <rPr>
        <rFont val="Arial"/>
        <b/>
      </rPr>
      <t xml:space="preserve">If Positive: </t>
    </r>
    <r>
      <rPr>
        <rFont val="Arial"/>
        <b val="0"/>
      </rPr>
      <t>Get assigned more accounts to ramp up to 30-50 campaigns under management</t>
    </r>
  </si>
  <si>
    <t>Proactively identify and fix campaign constraints without manager intervention</t>
  </si>
  <si>
    <t>In Full daily flow without handholding: Daily flow // EOD reports...</t>
  </si>
  <si>
    <t>Day 14</t>
  </si>
  <si>
    <t>Media Buyer in full flow - fully ramped up &amp; on track to manage 30-50 client campaigna</t>
  </si>
  <si>
    <t>Day 30</t>
  </si>
  <si>
    <t>Officially in full flow: managing 30-50 client campaigns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</si>
</sst>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-d"/>
  </numFmts>
  <fonts count="13">
    <font>
      <sz val="10.0"/>
      <color rgb="FF000000"/>
      <name val="Arial"/>
    </font>
    <font>
      <sz val="18.0"/>
      <color rgb="FFFFFFFF"/>
      <name val="Arial"/>
    </font>
    <font>
      <b/>
      <sz val="18.0"/>
      <color rgb="FF000000"/>
      <name val="Arial"/>
    </font>
    <font/>
    <font>
      <b/>
      <sz val="18.0"/>
      <color rgb="FFCCA777"/>
      <name val="Arial"/>
    </font>
    <font>
      <sz val="18.0"/>
      <name val="Arial"/>
    </font>
    <font>
      <b/>
      <sz val="10.0"/>
      <color rgb="FF000000"/>
      <name val="Arial"/>
    </font>
    <font>
      <b/>
      <sz val="10.0"/>
      <color rgb="FFFF0000"/>
      <name val="Arial"/>
    </font>
    <font>
      <color rgb="FFFFFFFF"/>
      <name val="Arial"/>
    </font>
    <font>
      <name val="Arial"/>
    </font>
    <font>
      <color rgb="FF000000"/>
      <name val="Arial"/>
    </font>
    <font>
      <b/>
      <color rgb="FFFF0000"/>
      <name val="Arial"/>
    </font>
    <font>
      <b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CA777"/>
        <bgColor rgb="FFCCA777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</fills>
  <borders count="1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CCA777"/>
      </left>
      <right style="thin">
        <color rgb="FFCCA777"/>
      </right>
      <top style="thin">
        <color rgb="FFCCA777"/>
      </top>
    </border>
    <border>
      <left style="thin">
        <color rgb="FFFFFFFF"/>
      </left>
      <right style="thin">
        <color rgb="FFFFFFFF"/>
      </right>
      <top style="thin">
        <color rgb="FFF3F3F3"/>
      </top>
      <bottom style="thin">
        <color rgb="FFF3F3F3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3F3F3"/>
      </bottom>
    </border>
    <border>
      <left style="thin">
        <color rgb="FFFFFFFF"/>
      </left>
      <right style="thin">
        <color rgb="FFFFFFFF"/>
      </right>
      <bottom style="thin">
        <color rgb="FFF3F3F3"/>
      </bottom>
    </border>
    <border>
      <left style="thin">
        <color rgb="FFFFFFFF"/>
      </left>
      <right style="thin">
        <color rgb="FFFFFFFF"/>
      </right>
      <top style="thin">
        <color rgb="FFF3F3F3"/>
      </top>
    </border>
    <border>
      <left style="thin">
        <color rgb="FFFFFFFF"/>
      </left>
      <right style="thin">
        <color rgb="FFFFFFFF"/>
      </right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0" fillId="2" fontId="4" numFmtId="0" xfId="0" applyAlignment="1" applyFont="1">
      <alignment horizontal="center" readingOrder="0" shrinkToFit="0" vertical="center" wrapText="1"/>
    </xf>
    <xf borderId="0" fillId="2" fontId="5" numFmtId="0" xfId="0" applyAlignment="1" applyFont="1">
      <alignment horizontal="left" readingOrder="0" shrinkToFit="0" vertical="center" wrapText="1"/>
    </xf>
    <xf borderId="4" fillId="2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5" fillId="2" fontId="6" numFmtId="0" xfId="0" applyAlignment="1" applyBorder="1" applyFont="1">
      <alignment readingOrder="0" shrinkToFit="0" vertical="center" wrapText="1"/>
    </xf>
    <xf borderId="5" fillId="2" fontId="6" numFmtId="0" xfId="0" applyAlignment="1" applyBorder="1" applyFont="1">
      <alignment horizontal="left" readingOrder="0" shrinkToFit="0" vertical="center" wrapText="1"/>
    </xf>
    <xf borderId="0" fillId="2" fontId="6" numFmtId="0" xfId="0" applyAlignment="1" applyFont="1">
      <alignment readingOrder="0" shrinkToFit="0" vertical="center" wrapText="1"/>
    </xf>
    <xf borderId="0" fillId="2" fontId="6" numFmtId="0" xfId="0" applyAlignment="1" applyFont="1">
      <alignment horizontal="left" readingOrder="0" shrinkToFit="0" vertical="center" wrapText="1"/>
    </xf>
    <xf borderId="5" fillId="2" fontId="7" numFmtId="0" xfId="0" applyAlignment="1" applyBorder="1" applyFont="1">
      <alignment readingOrder="0" shrinkToFit="0" vertical="center" wrapText="1"/>
    </xf>
    <xf borderId="6" fillId="4" fontId="8" numFmtId="0" xfId="0" applyAlignment="1" applyBorder="1" applyFill="1" applyFont="1">
      <alignment readingOrder="0" shrinkToFit="0" vertical="center" wrapText="1"/>
    </xf>
    <xf borderId="6" fillId="4" fontId="8" numFmtId="0" xfId="0" applyAlignment="1" applyBorder="1" applyFont="1">
      <alignment horizontal="center" readingOrder="0" shrinkToFit="0" vertical="center" wrapText="1"/>
    </xf>
    <xf borderId="6" fillId="4" fontId="8" numFmtId="0" xfId="0" applyAlignment="1" applyBorder="1" applyFont="1">
      <alignment horizontal="left" readingOrder="0" shrinkToFit="0" vertical="center" wrapText="1"/>
    </xf>
    <xf borderId="0" fillId="4" fontId="8" numFmtId="0" xfId="0" applyAlignment="1" applyFont="1">
      <alignment readingOrder="0" shrinkToFit="0" vertical="center" wrapText="1"/>
    </xf>
    <xf borderId="0" fillId="4" fontId="8" numFmtId="0" xfId="0" applyAlignment="1" applyFont="1">
      <alignment horizontal="left" readingOrder="0" shrinkToFit="0" vertical="center" wrapText="1"/>
    </xf>
    <xf borderId="6" fillId="4" fontId="8" numFmtId="0" xfId="0" applyAlignment="1" applyBorder="1" applyFont="1">
      <alignment horizontal="right" readingOrder="0" shrinkToFit="0" vertical="center" wrapText="1"/>
    </xf>
    <xf borderId="7" fillId="0" fontId="9" numFmtId="0" xfId="0" applyAlignment="1" applyBorder="1" applyFont="1">
      <alignment vertical="center"/>
    </xf>
    <xf borderId="7" fillId="5" fontId="9" numFmtId="0" xfId="0" applyAlignment="1" applyBorder="1" applyFill="1" applyFont="1">
      <alignment horizontal="center" readingOrder="0" shrinkToFit="0" vertical="center" wrapText="1"/>
    </xf>
    <xf borderId="7" fillId="5" fontId="9" numFmtId="0" xfId="0" applyAlignment="1" applyBorder="1" applyFont="1">
      <alignment horizontal="center" readingOrder="0" vertical="center"/>
    </xf>
    <xf borderId="0" fillId="5" fontId="9" numFmtId="0" xfId="0" applyAlignment="1" applyFont="1">
      <alignment readingOrder="0" vertical="center"/>
    </xf>
    <xf borderId="8" fillId="0" fontId="9" numFmtId="0" xfId="0" applyAlignment="1" applyBorder="1" applyFont="1">
      <alignment horizontal="left" readingOrder="0" vertical="center"/>
    </xf>
    <xf borderId="0" fillId="0" fontId="10" numFmtId="0" xfId="0" applyAlignment="1" applyFont="1">
      <alignment horizontal="center" readingOrder="0" vertical="center"/>
    </xf>
    <xf borderId="0" fillId="0" fontId="9" numFmtId="0" xfId="0" applyAlignment="1" applyFont="1">
      <alignment horizontal="left" readingOrder="0" shrinkToFit="0" vertical="center" wrapText="0"/>
    </xf>
    <xf borderId="7" fillId="0" fontId="9" numFmtId="0" xfId="0" applyAlignment="1" applyBorder="1" applyFont="1">
      <alignment horizontal="right" readingOrder="0" vertical="center"/>
    </xf>
    <xf borderId="7" fillId="0" fontId="10" numFmtId="164" xfId="0" applyAlignment="1" applyBorder="1" applyFont="1" applyNumberFormat="1">
      <alignment horizontal="right" readingOrder="0" vertical="center"/>
    </xf>
    <xf borderId="7" fillId="5" fontId="9" numFmtId="0" xfId="0" applyAlignment="1" applyBorder="1" applyFont="1">
      <alignment readingOrder="0" shrinkToFit="0" vertical="center" wrapText="1"/>
    </xf>
    <xf borderId="0" fillId="0" fontId="10" numFmtId="0" xfId="0" applyAlignment="1" applyFont="1">
      <alignment horizontal="left" readingOrder="0" vertical="center"/>
    </xf>
    <xf borderId="9" fillId="0" fontId="9" numFmtId="0" xfId="0" applyAlignment="1" applyBorder="1" applyFont="1">
      <alignment horizontal="right" readingOrder="0" vertical="center"/>
    </xf>
    <xf borderId="9" fillId="0" fontId="10" numFmtId="164" xfId="0" applyAlignment="1" applyBorder="1" applyFont="1" applyNumberFormat="1">
      <alignment horizontal="right" readingOrder="0" vertical="center"/>
    </xf>
    <xf borderId="0" fillId="5" fontId="9" numFmtId="0" xfId="0" applyAlignment="1" applyFont="1">
      <alignment readingOrder="0" shrinkToFit="0" vertical="center" wrapText="1"/>
    </xf>
    <xf borderId="7" fillId="0" fontId="9" numFmtId="0" xfId="0" applyAlignment="1" applyBorder="1" applyFont="1">
      <alignment horizontal="left" readingOrder="0" vertical="center"/>
    </xf>
    <xf borderId="0" fillId="0" fontId="10" numFmtId="164" xfId="0" applyAlignment="1" applyFont="1" applyNumberFormat="1">
      <alignment horizontal="left" readingOrder="0" vertical="center"/>
    </xf>
    <xf borderId="9" fillId="0" fontId="10" numFmtId="0" xfId="0" applyAlignment="1" applyBorder="1" applyFont="1">
      <alignment horizontal="right" readingOrder="0" vertical="center"/>
    </xf>
    <xf borderId="0" fillId="0" fontId="10" numFmtId="0" xfId="0" applyAlignment="1" applyFont="1">
      <alignment horizontal="right" readingOrder="0" vertical="center"/>
    </xf>
    <xf borderId="7" fillId="5" fontId="9" numFmtId="165" xfId="0" applyAlignment="1" applyBorder="1" applyFont="1" applyNumberFormat="1">
      <alignment horizontal="center" readingOrder="0" shrinkToFit="0" vertical="center" wrapText="1"/>
    </xf>
    <xf borderId="0" fillId="5" fontId="9" numFmtId="0" xfId="0" applyAlignment="1" applyFont="1">
      <alignment readingOrder="0" vertical="center"/>
    </xf>
    <xf borderId="0" fillId="0" fontId="9" numFmtId="0" xfId="0" applyAlignment="1" applyFont="1">
      <alignment horizontal="center" readingOrder="0" shrinkToFit="0" vertical="center" wrapText="0"/>
    </xf>
    <xf borderId="7" fillId="0" fontId="9" numFmtId="0" xfId="0" applyAlignment="1" applyBorder="1" applyFont="1">
      <alignment horizontal="right" vertical="center"/>
    </xf>
    <xf borderId="7" fillId="0" fontId="10" numFmtId="164" xfId="0" applyAlignment="1" applyBorder="1" applyFont="1" applyNumberFormat="1">
      <alignment horizontal="center" readingOrder="0" vertical="center"/>
    </xf>
    <xf borderId="7" fillId="0" fontId="10" numFmtId="0" xfId="0" applyAlignment="1" applyBorder="1" applyFont="1">
      <alignment horizontal="center" readingOrder="0" vertical="center"/>
    </xf>
    <xf borderId="7" fillId="5" fontId="11" numFmtId="0" xfId="0" applyAlignment="1" applyBorder="1" applyFont="1">
      <alignment readingOrder="0" shrinkToFit="0" vertical="center" wrapText="1"/>
    </xf>
    <xf borderId="7" fillId="5" fontId="9" numFmtId="0" xfId="0" applyAlignment="1" applyBorder="1" applyFont="1">
      <alignment readingOrder="0" shrinkToFit="0" vertical="center" wrapText="1"/>
    </xf>
    <xf borderId="0" fillId="0" fontId="9" numFmtId="0" xfId="0" applyAlignment="1" applyFont="1">
      <alignment horizontal="center" readingOrder="0" vertical="center"/>
    </xf>
    <xf borderId="0" fillId="0" fontId="9" numFmtId="0" xfId="0" applyAlignment="1" applyFont="1">
      <alignment horizontal="left" vertical="center"/>
    </xf>
    <xf borderId="7" fillId="5" fontId="9" numFmtId="0" xfId="0" applyAlignment="1" applyBorder="1" applyFont="1">
      <alignment readingOrder="0" shrinkToFit="0" vertical="center" wrapText="1"/>
    </xf>
    <xf borderId="0" fillId="0" fontId="9" numFmtId="0" xfId="0" applyAlignment="1" applyFont="1">
      <alignment horizontal="left" readingOrder="0" vertical="center"/>
    </xf>
    <xf borderId="7" fillId="5" fontId="11" numFmtId="0" xfId="0" applyAlignment="1" applyBorder="1" applyFont="1">
      <alignment readingOrder="0" shrinkToFit="0" vertical="center" wrapText="1"/>
    </xf>
    <xf borderId="7" fillId="6" fontId="9" numFmtId="0" xfId="0" applyAlignment="1" applyBorder="1" applyFill="1" applyFont="1">
      <alignment vertical="center"/>
    </xf>
    <xf borderId="7" fillId="6" fontId="12" numFmtId="0" xfId="0" applyAlignment="1" applyBorder="1" applyFont="1">
      <alignment horizontal="center" readingOrder="0" shrinkToFit="0" vertical="center" wrapText="1"/>
    </xf>
    <xf borderId="7" fillId="6" fontId="12" numFmtId="0" xfId="0" applyAlignment="1" applyBorder="1" applyFont="1">
      <alignment horizontal="center" readingOrder="0" vertical="center"/>
    </xf>
    <xf borderId="7" fillId="6" fontId="12" numFmtId="0" xfId="0" applyAlignment="1" applyBorder="1" applyFont="1">
      <alignment readingOrder="0" shrinkToFit="0" vertical="center" wrapText="1"/>
    </xf>
    <xf borderId="7" fillId="6" fontId="9" numFmtId="0" xfId="0" applyAlignment="1" applyBorder="1" applyFont="1">
      <alignment horizontal="left" readingOrder="0" vertical="center"/>
    </xf>
    <xf borderId="0" fillId="6" fontId="10" numFmtId="0" xfId="0" applyAlignment="1" applyFont="1">
      <alignment horizontal="center" readingOrder="0" vertical="center"/>
    </xf>
    <xf borderId="0" fillId="6" fontId="10" numFmtId="164" xfId="0" applyAlignment="1" applyFont="1" applyNumberFormat="1">
      <alignment horizontal="left" readingOrder="0" vertical="center"/>
    </xf>
    <xf borderId="7" fillId="6" fontId="9" numFmtId="0" xfId="0" applyAlignment="1" applyBorder="1" applyFont="1">
      <alignment horizontal="right" vertical="center"/>
    </xf>
    <xf borderId="7" fillId="6" fontId="10" numFmtId="164" xfId="0" applyAlignment="1" applyBorder="1" applyFont="1" applyNumberFormat="1">
      <alignment horizontal="center" readingOrder="0" vertical="center"/>
    </xf>
    <xf borderId="10" fillId="7" fontId="9" numFmtId="0" xfId="0" applyAlignment="1" applyBorder="1" applyFill="1" applyFont="1">
      <alignment horizontal="center" readingOrder="0" shrinkToFit="0" vertical="center" wrapText="1"/>
    </xf>
    <xf borderId="7" fillId="7" fontId="9" numFmtId="0" xfId="0" applyAlignment="1" applyBorder="1" applyFont="1">
      <alignment horizontal="center" readingOrder="0" vertical="center"/>
    </xf>
    <xf borderId="7" fillId="7" fontId="9" numFmtId="0" xfId="0" applyAlignment="1" applyBorder="1" applyFont="1">
      <alignment readingOrder="0" shrinkToFit="0" vertical="center" wrapText="1"/>
    </xf>
    <xf borderId="7" fillId="0" fontId="9" numFmtId="0" xfId="0" applyAlignment="1" applyBorder="1" applyFont="1">
      <alignment horizontal="center" readingOrder="0" vertical="center"/>
    </xf>
    <xf borderId="11" fillId="7" fontId="9" numFmtId="165" xfId="0" applyAlignment="1" applyBorder="1" applyFont="1" applyNumberFormat="1">
      <alignment horizontal="center" readingOrder="0" shrinkToFit="0" vertical="center" wrapText="1"/>
    </xf>
    <xf borderId="7" fillId="7" fontId="9" numFmtId="0" xfId="0" applyAlignment="1" applyBorder="1" applyFont="1">
      <alignment readingOrder="0" shrinkToFit="0" vertical="center" wrapText="1"/>
    </xf>
    <xf borderId="11" fillId="7" fontId="9" numFmtId="0" xfId="0" applyAlignment="1" applyBorder="1" applyFont="1">
      <alignment horizontal="center" readingOrder="0" shrinkToFit="0" vertical="center" wrapText="1"/>
    </xf>
    <xf borderId="7" fillId="7" fontId="11" numFmtId="0" xfId="0" applyAlignment="1" applyBorder="1" applyFont="1">
      <alignment readingOrder="0" shrinkToFit="0" vertical="center" wrapText="1"/>
    </xf>
    <xf borderId="7" fillId="7" fontId="12" numFmtId="0" xfId="0" applyAlignment="1" applyBorder="1" applyFont="1">
      <alignment readingOrder="0" shrinkToFit="0" vertical="center" wrapText="1"/>
    </xf>
    <xf borderId="7" fillId="7" fontId="9" numFmtId="0" xfId="0" applyAlignment="1" applyBorder="1" applyFont="1">
      <alignment readingOrder="0" shrinkToFit="0" vertical="center" wrapText="1"/>
    </xf>
    <xf borderId="7" fillId="6" fontId="9" numFmtId="0" xfId="0" applyAlignment="1" applyBorder="1" applyFont="1">
      <alignment horizontal="left" vertical="center"/>
    </xf>
    <xf borderId="0" fillId="6" fontId="9" numFmtId="0" xfId="0" applyAlignment="1" applyFont="1">
      <alignment horizontal="center" vertical="center"/>
    </xf>
    <xf borderId="0" fillId="6" fontId="9" numFmtId="0" xfId="0" applyAlignment="1" applyFont="1">
      <alignment horizontal="left" vertical="center"/>
    </xf>
    <xf borderId="7" fillId="6" fontId="10" numFmtId="164" xfId="0" applyAlignment="1" applyBorder="1" applyFont="1" applyNumberFormat="1">
      <alignment horizontal="right" readingOrder="0" vertical="center"/>
    </xf>
    <xf borderId="0" fillId="6" fontId="9" numFmtId="0" xfId="0" applyAlignment="1" applyFont="1">
      <alignment vertical="center"/>
    </xf>
    <xf borderId="0" fillId="6" fontId="12" numFmtId="0" xfId="0" applyAlignment="1" applyFont="1">
      <alignment horizontal="center" readingOrder="0" shrinkToFit="0" vertical="center" wrapText="1"/>
    </xf>
    <xf borderId="0" fillId="6" fontId="12" numFmtId="0" xfId="0" applyAlignment="1" applyFont="1">
      <alignment readingOrder="0" shrinkToFit="0" vertical="center" wrapText="1"/>
    </xf>
    <xf borderId="0" fillId="6" fontId="9" numFmtId="0" xfId="0" applyAlignment="1" applyFont="1">
      <alignment horizontal="right" vertical="center"/>
    </xf>
    <xf borderId="0" fillId="6" fontId="10" numFmtId="164" xfId="0" applyAlignment="1" applyFont="1" applyNumberFormat="1">
      <alignment horizontal="right" readingOrder="0" vertical="center"/>
    </xf>
  </cellXfs>
  <cellStyles count="1">
    <cellStyle xfId="0" name="Normal" builtinId="0"/>
  </cellStyles>
  <dxfs count="4">
    <dxf>
      <font>
        <b/>
        <color rgb="FFCC0000"/>
      </font>
      <fill>
        <patternFill patternType="none"/>
      </fill>
      <border/>
    </dxf>
    <dxf>
      <font>
        <color rgb="FF000000"/>
      </font>
      <fill>
        <patternFill patternType="none"/>
      </fill>
      <border/>
    </dxf>
    <dxf>
      <font>
        <i/>
        <color rgb="FF008000"/>
      </font>
      <fill>
        <patternFill patternType="none"/>
      </fill>
      <border/>
    </dxf>
    <dxf>
      <font>
        <color rgb="FF666666"/>
      </font>
      <fill>
        <patternFill patternType="solid">
          <fgColor rgb="FFEFEFEF"/>
          <bgColor rgb="FFEFEFE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5"/>
    <col customWidth="1" min="2" max="2" width="11.38"/>
    <col customWidth="1" min="3" max="3" width="14.5"/>
    <col customWidth="1" min="4" max="4" width="79.0"/>
    <col customWidth="1" min="5" max="5" width="12.25"/>
    <col customWidth="1" min="6" max="7" width="8.75"/>
    <col customWidth="1" min="8" max="8" width="44.88"/>
    <col customWidth="1" min="9" max="9" width="9.75"/>
    <col customWidth="1" min="10" max="10" width="12.25"/>
    <col customWidth="1" min="11" max="11" width="44.38"/>
  </cols>
  <sheetData>
    <row r="1" ht="44.25" customHeight="1">
      <c r="A1" s="1"/>
      <c r="B1" s="2"/>
      <c r="C1" s="2" t="s">
        <v>0</v>
      </c>
      <c r="D1" s="3"/>
      <c r="E1" s="3"/>
      <c r="F1" s="4">
        <f t="shared" ref="F1:G1" si="1">SUM(F4:F28)</f>
        <v>96</v>
      </c>
      <c r="G1" s="4">
        <f t="shared" si="1"/>
        <v>0</v>
      </c>
      <c r="H1" s="5"/>
      <c r="I1" s="6"/>
      <c r="J1" s="7" t="s">
        <v>1</v>
      </c>
      <c r="K1" s="8" t="s">
        <v>2</v>
      </c>
    </row>
    <row r="2" ht="29.25" customHeight="1">
      <c r="A2" s="9"/>
      <c r="B2" s="10" t="s">
        <v>3</v>
      </c>
      <c r="C2" s="10" t="s">
        <v>4</v>
      </c>
      <c r="D2" s="10" t="s">
        <v>5</v>
      </c>
      <c r="E2" s="10" t="s">
        <v>6</v>
      </c>
      <c r="F2" s="11" t="s">
        <v>7</v>
      </c>
      <c r="G2" s="11" t="s">
        <v>8</v>
      </c>
      <c r="H2" s="12" t="s">
        <v>9</v>
      </c>
      <c r="I2" s="10" t="s">
        <v>10</v>
      </c>
      <c r="J2" s="10" t="s">
        <v>11</v>
      </c>
      <c r="K2" s="13" t="s">
        <v>12</v>
      </c>
    </row>
    <row r="3" ht="4.5" customHeight="1">
      <c r="A3" s="14"/>
      <c r="B3" s="15"/>
      <c r="C3" s="15"/>
      <c r="D3" s="14"/>
      <c r="E3" s="16"/>
      <c r="F3" s="17"/>
      <c r="G3" s="17"/>
      <c r="H3" s="18"/>
      <c r="I3" s="19"/>
      <c r="J3" s="19"/>
      <c r="K3" s="14"/>
    </row>
    <row r="4">
      <c r="A4" s="20"/>
      <c r="B4" s="21">
        <v>1.0</v>
      </c>
      <c r="C4" s="22" t="s">
        <v>13</v>
      </c>
      <c r="D4" s="23" t="s">
        <v>14</v>
      </c>
      <c r="E4" s="24" t="s">
        <v>15</v>
      </c>
      <c r="F4" s="25">
        <v>1.0</v>
      </c>
      <c r="G4" s="25">
        <f t="shared" ref="G4:G17" si="2">IFS(E4="Done",F4,E4="In progress",0,E4="Not started",0,E4="Skipped",0)</f>
        <v>0</v>
      </c>
      <c r="H4" s="26"/>
      <c r="I4" s="27"/>
      <c r="J4" s="28"/>
      <c r="K4" s="28"/>
    </row>
    <row r="5">
      <c r="A5" s="20"/>
      <c r="B5" s="21">
        <v>1.0</v>
      </c>
      <c r="C5" s="22" t="s">
        <v>13</v>
      </c>
      <c r="D5" s="29" t="s">
        <v>16</v>
      </c>
      <c r="E5" s="24" t="s">
        <v>15</v>
      </c>
      <c r="F5" s="25">
        <v>1.0</v>
      </c>
      <c r="G5" s="25">
        <f t="shared" si="2"/>
        <v>0</v>
      </c>
      <c r="H5" s="30"/>
      <c r="I5" s="27"/>
      <c r="J5" s="28"/>
      <c r="K5" s="28"/>
    </row>
    <row r="6">
      <c r="A6" s="20"/>
      <c r="B6" s="21">
        <v>1.0</v>
      </c>
      <c r="C6" s="22" t="s">
        <v>13</v>
      </c>
      <c r="D6" s="23" t="s">
        <v>17</v>
      </c>
      <c r="E6" s="24" t="s">
        <v>15</v>
      </c>
      <c r="F6" s="25">
        <v>1.0</v>
      </c>
      <c r="G6" s="25">
        <f t="shared" si="2"/>
        <v>0</v>
      </c>
      <c r="H6" s="26"/>
      <c r="I6" s="31"/>
      <c r="J6" s="32"/>
      <c r="K6" s="32"/>
    </row>
    <row r="7">
      <c r="A7" s="20"/>
      <c r="B7" s="21">
        <v>1.0</v>
      </c>
      <c r="C7" s="22" t="s">
        <v>13</v>
      </c>
      <c r="D7" s="33" t="s">
        <v>18</v>
      </c>
      <c r="E7" s="34" t="s">
        <v>15</v>
      </c>
      <c r="F7" s="25">
        <v>1.0</v>
      </c>
      <c r="G7" s="25">
        <f t="shared" si="2"/>
        <v>0</v>
      </c>
      <c r="H7" s="35"/>
      <c r="I7" s="31"/>
      <c r="J7" s="32"/>
      <c r="K7" s="36"/>
    </row>
    <row r="8">
      <c r="A8" s="20"/>
      <c r="B8" s="21">
        <v>1.0</v>
      </c>
      <c r="C8" s="22" t="s">
        <v>13</v>
      </c>
      <c r="D8" s="33" t="s">
        <v>19</v>
      </c>
      <c r="E8" s="34" t="s">
        <v>15</v>
      </c>
      <c r="F8" s="25">
        <v>1.0</v>
      </c>
      <c r="G8" s="25">
        <f t="shared" si="2"/>
        <v>0</v>
      </c>
      <c r="H8" s="35"/>
      <c r="I8" s="31"/>
      <c r="J8" s="32"/>
      <c r="K8" s="37"/>
    </row>
    <row r="9">
      <c r="A9" s="20"/>
      <c r="B9" s="38">
        <v>45659.0</v>
      </c>
      <c r="C9" s="22" t="s">
        <v>13</v>
      </c>
      <c r="D9" s="39" t="s">
        <v>20</v>
      </c>
      <c r="E9" s="34" t="s">
        <v>15</v>
      </c>
      <c r="F9" s="25">
        <v>1.0</v>
      </c>
      <c r="G9" s="25">
        <f t="shared" si="2"/>
        <v>0</v>
      </c>
      <c r="H9" s="35"/>
      <c r="I9" s="31"/>
      <c r="J9" s="32"/>
      <c r="K9" s="40"/>
    </row>
    <row r="10">
      <c r="A10" s="20"/>
      <c r="B10" s="38">
        <v>45659.0</v>
      </c>
      <c r="C10" s="22" t="s">
        <v>13</v>
      </c>
      <c r="D10" s="29" t="s">
        <v>21</v>
      </c>
      <c r="E10" s="34" t="s">
        <v>15</v>
      </c>
      <c r="F10" s="25">
        <v>3.0</v>
      </c>
      <c r="G10" s="25">
        <f t="shared" si="2"/>
        <v>0</v>
      </c>
      <c r="H10" s="35"/>
      <c r="I10" s="41"/>
      <c r="J10" s="42"/>
      <c r="K10" s="40"/>
    </row>
    <row r="11">
      <c r="A11" s="20"/>
      <c r="B11" s="21">
        <v>3.0</v>
      </c>
      <c r="C11" s="22" t="s">
        <v>13</v>
      </c>
      <c r="D11" s="29" t="s">
        <v>22</v>
      </c>
      <c r="E11" s="34" t="s">
        <v>15</v>
      </c>
      <c r="F11" s="25">
        <v>5.0</v>
      </c>
      <c r="G11" s="25">
        <f t="shared" si="2"/>
        <v>0</v>
      </c>
      <c r="H11" s="35"/>
      <c r="I11" s="41"/>
      <c r="J11" s="42"/>
      <c r="K11" s="43"/>
    </row>
    <row r="12">
      <c r="A12" s="20"/>
      <c r="B12" s="21">
        <v>3.0</v>
      </c>
      <c r="C12" s="22" t="s">
        <v>23</v>
      </c>
      <c r="D12" s="44" t="s">
        <v>24</v>
      </c>
      <c r="E12" s="34" t="s">
        <v>15</v>
      </c>
      <c r="F12" s="25">
        <v>5.0</v>
      </c>
      <c r="G12" s="25">
        <f t="shared" si="2"/>
        <v>0</v>
      </c>
      <c r="H12" s="35"/>
      <c r="I12" s="41"/>
      <c r="J12" s="42"/>
      <c r="K12" s="25"/>
    </row>
    <row r="13">
      <c r="A13" s="20"/>
      <c r="B13" s="21">
        <v>4.0</v>
      </c>
      <c r="C13" s="22" t="s">
        <v>13</v>
      </c>
      <c r="D13" s="45" t="s">
        <v>25</v>
      </c>
      <c r="E13" s="34" t="s">
        <v>15</v>
      </c>
      <c r="F13" s="46">
        <v>1.0</v>
      </c>
      <c r="G13" s="25">
        <f t="shared" si="2"/>
        <v>0</v>
      </c>
      <c r="H13" s="47"/>
      <c r="I13" s="41"/>
      <c r="J13" s="42"/>
      <c r="K13" s="40"/>
    </row>
    <row r="14">
      <c r="A14" s="20"/>
      <c r="B14" s="21">
        <v>4.0</v>
      </c>
      <c r="C14" s="22" t="s">
        <v>26</v>
      </c>
      <c r="D14" s="48" t="s">
        <v>27</v>
      </c>
      <c r="E14" s="34" t="s">
        <v>15</v>
      </c>
      <c r="F14" s="25">
        <v>3.0</v>
      </c>
      <c r="G14" s="25">
        <f t="shared" si="2"/>
        <v>0</v>
      </c>
      <c r="H14" s="49"/>
      <c r="I14" s="41"/>
      <c r="J14" s="42"/>
      <c r="K14" s="42"/>
    </row>
    <row r="15">
      <c r="A15" s="20"/>
      <c r="B15" s="38">
        <v>45783.0</v>
      </c>
      <c r="C15" s="22" t="s">
        <v>23</v>
      </c>
      <c r="D15" s="48" t="s">
        <v>28</v>
      </c>
      <c r="E15" s="34" t="s">
        <v>15</v>
      </c>
      <c r="F15" s="46">
        <v>5.0</v>
      </c>
      <c r="G15" s="25">
        <f t="shared" si="2"/>
        <v>0</v>
      </c>
      <c r="H15" s="47"/>
      <c r="I15" s="41"/>
      <c r="J15" s="42"/>
      <c r="K15" s="40"/>
    </row>
    <row r="16">
      <c r="A16" s="20"/>
      <c r="B16" s="38">
        <v>45783.0</v>
      </c>
      <c r="C16" s="22" t="s">
        <v>26</v>
      </c>
      <c r="D16" s="48" t="s">
        <v>29</v>
      </c>
      <c r="E16" s="34" t="s">
        <v>15</v>
      </c>
      <c r="F16" s="25">
        <v>5.0</v>
      </c>
      <c r="G16" s="25">
        <f t="shared" si="2"/>
        <v>0</v>
      </c>
      <c r="H16" s="49"/>
      <c r="I16" s="41"/>
      <c r="J16" s="42"/>
      <c r="K16" s="42"/>
    </row>
    <row r="17">
      <c r="A17" s="20"/>
      <c r="B17" s="21">
        <v>7.0</v>
      </c>
      <c r="C17" s="22" t="s">
        <v>23</v>
      </c>
      <c r="D17" s="50" t="s">
        <v>30</v>
      </c>
      <c r="E17" s="34" t="s">
        <v>15</v>
      </c>
      <c r="F17" s="25">
        <v>5.0</v>
      </c>
      <c r="G17" s="25">
        <f t="shared" si="2"/>
        <v>0</v>
      </c>
      <c r="H17" s="49"/>
      <c r="I17" s="41"/>
      <c r="J17" s="42"/>
      <c r="K17" s="42"/>
    </row>
    <row r="18">
      <c r="A18" s="51"/>
      <c r="B18" s="52" t="s">
        <v>31</v>
      </c>
      <c r="C18" s="53" t="s">
        <v>32</v>
      </c>
      <c r="D18" s="54" t="s">
        <v>33</v>
      </c>
      <c r="E18" s="55"/>
      <c r="F18" s="56"/>
      <c r="G18" s="56"/>
      <c r="H18" s="57"/>
      <c r="I18" s="58"/>
      <c r="J18" s="59"/>
      <c r="K18" s="59"/>
    </row>
    <row r="19">
      <c r="A19" s="20"/>
      <c r="B19" s="60">
        <v>8.0</v>
      </c>
      <c r="C19" s="61" t="s">
        <v>26</v>
      </c>
      <c r="D19" s="62" t="s">
        <v>34</v>
      </c>
      <c r="E19" s="34" t="s">
        <v>15</v>
      </c>
      <c r="F19" s="25">
        <v>5.0</v>
      </c>
      <c r="G19" s="25">
        <f t="shared" ref="G19:G27" si="3">IFS(E19="Done",F19,E19="In progress",0,E19="Not started",0,E19="Skipped",0)</f>
        <v>0</v>
      </c>
      <c r="H19" s="49"/>
      <c r="I19" s="41"/>
      <c r="J19" s="42"/>
      <c r="K19" s="63"/>
    </row>
    <row r="20">
      <c r="A20" s="20"/>
      <c r="B20" s="64">
        <v>45878.0</v>
      </c>
      <c r="C20" s="61" t="s">
        <v>26</v>
      </c>
      <c r="D20" s="62" t="s">
        <v>35</v>
      </c>
      <c r="E20" s="34" t="s">
        <v>15</v>
      </c>
      <c r="F20" s="46">
        <v>10.0</v>
      </c>
      <c r="G20" s="25">
        <f t="shared" si="3"/>
        <v>0</v>
      </c>
      <c r="H20" s="49"/>
      <c r="I20" s="41"/>
      <c r="J20" s="42"/>
      <c r="K20" s="40"/>
    </row>
    <row r="21">
      <c r="A21" s="20"/>
      <c r="B21" s="64">
        <v>45910.0</v>
      </c>
      <c r="C21" s="61" t="s">
        <v>36</v>
      </c>
      <c r="D21" s="65" t="s">
        <v>37</v>
      </c>
      <c r="E21" s="34" t="s">
        <v>15</v>
      </c>
      <c r="F21" s="25">
        <v>5.0</v>
      </c>
      <c r="G21" s="25">
        <f t="shared" si="3"/>
        <v>0</v>
      </c>
      <c r="H21" s="49"/>
      <c r="I21" s="41"/>
      <c r="J21" s="42"/>
      <c r="K21" s="63"/>
    </row>
    <row r="22">
      <c r="A22" s="20"/>
      <c r="B22" s="66">
        <v>11.0</v>
      </c>
      <c r="C22" s="61" t="s">
        <v>26</v>
      </c>
      <c r="D22" s="62" t="s">
        <v>38</v>
      </c>
      <c r="E22" s="34" t="s">
        <v>15</v>
      </c>
      <c r="F22" s="25">
        <v>5.0</v>
      </c>
      <c r="G22" s="25">
        <f t="shared" si="3"/>
        <v>0</v>
      </c>
      <c r="H22" s="49"/>
      <c r="I22" s="41"/>
      <c r="J22" s="42"/>
      <c r="K22" s="63"/>
    </row>
    <row r="23">
      <c r="A23" s="20"/>
      <c r="B23" s="66" t="s">
        <v>39</v>
      </c>
      <c r="C23" s="61" t="s">
        <v>36</v>
      </c>
      <c r="D23" s="62" t="s">
        <v>40</v>
      </c>
      <c r="E23" s="34" t="s">
        <v>15</v>
      </c>
      <c r="F23" s="25">
        <v>3.0</v>
      </c>
      <c r="G23" s="25">
        <f t="shared" si="3"/>
        <v>0</v>
      </c>
      <c r="H23" s="49"/>
      <c r="I23" s="41"/>
      <c r="J23" s="42"/>
      <c r="K23" s="63"/>
    </row>
    <row r="24">
      <c r="A24" s="20"/>
      <c r="B24" s="66">
        <v>14.0</v>
      </c>
      <c r="C24" s="61" t="s">
        <v>23</v>
      </c>
      <c r="D24" s="67" t="s">
        <v>41</v>
      </c>
      <c r="E24" s="34" t="s">
        <v>15</v>
      </c>
      <c r="F24" s="25">
        <v>10.0</v>
      </c>
      <c r="G24" s="25">
        <f t="shared" si="3"/>
        <v>0</v>
      </c>
      <c r="H24" s="49"/>
      <c r="I24" s="41"/>
      <c r="J24" s="42"/>
      <c r="K24" s="63"/>
    </row>
    <row r="25">
      <c r="A25" s="20"/>
      <c r="B25" s="66">
        <v>14.0</v>
      </c>
      <c r="C25" s="61" t="s">
        <v>26</v>
      </c>
      <c r="D25" s="68" t="s">
        <v>42</v>
      </c>
      <c r="E25" s="34" t="s">
        <v>15</v>
      </c>
      <c r="F25" s="25">
        <v>5.0</v>
      </c>
      <c r="G25" s="25">
        <f t="shared" si="3"/>
        <v>0</v>
      </c>
      <c r="H25" s="49"/>
      <c r="I25" s="41"/>
      <c r="J25" s="42"/>
      <c r="K25" s="63"/>
    </row>
    <row r="26">
      <c r="A26" s="20"/>
      <c r="B26" s="66">
        <v>14.0</v>
      </c>
      <c r="C26" s="61" t="s">
        <v>26</v>
      </c>
      <c r="D26" s="69" t="s">
        <v>43</v>
      </c>
      <c r="E26" s="34" t="s">
        <v>15</v>
      </c>
      <c r="F26" s="25">
        <v>5.0</v>
      </c>
      <c r="G26" s="25">
        <f t="shared" si="3"/>
        <v>0</v>
      </c>
      <c r="H26" s="49"/>
      <c r="I26" s="41"/>
      <c r="J26" s="42"/>
      <c r="K26" s="63"/>
    </row>
    <row r="27">
      <c r="A27" s="20"/>
      <c r="B27" s="66">
        <v>14.0</v>
      </c>
      <c r="C27" s="61" t="s">
        <v>36</v>
      </c>
      <c r="D27" s="62" t="s">
        <v>44</v>
      </c>
      <c r="E27" s="34" t="s">
        <v>15</v>
      </c>
      <c r="F27" s="25">
        <v>10.0</v>
      </c>
      <c r="G27" s="25">
        <f t="shared" si="3"/>
        <v>0</v>
      </c>
      <c r="H27" s="49"/>
      <c r="I27" s="41"/>
      <c r="J27" s="42"/>
      <c r="K27" s="63"/>
    </row>
    <row r="28">
      <c r="A28" s="51"/>
      <c r="B28" s="52" t="s">
        <v>45</v>
      </c>
      <c r="C28" s="53" t="s">
        <v>32</v>
      </c>
      <c r="D28" s="54" t="s">
        <v>46</v>
      </c>
      <c r="E28" s="70"/>
      <c r="F28" s="71"/>
      <c r="G28" s="56"/>
      <c r="H28" s="72"/>
      <c r="I28" s="58"/>
      <c r="J28" s="73"/>
      <c r="K28" s="51"/>
    </row>
    <row r="29">
      <c r="A29" s="74"/>
      <c r="B29" s="75" t="s">
        <v>47</v>
      </c>
      <c r="C29" s="53" t="s">
        <v>32</v>
      </c>
      <c r="D29" s="76" t="s">
        <v>48</v>
      </c>
      <c r="E29" s="72"/>
      <c r="F29" s="71"/>
      <c r="G29" s="56"/>
      <c r="H29" s="72"/>
      <c r="I29" s="77"/>
      <c r="J29" s="78"/>
      <c r="K29" s="74"/>
    </row>
  </sheetData>
  <mergeCells count="1">
    <mergeCell ref="C1:E1"/>
  </mergeCells>
  <conditionalFormatting sqref="J4:J29">
    <cfRule type="expression" dxfId="0" priority="1">
      <formula>AND(OR($E4="In progress",$E4="Not started" ),OR(#REF!=today(), #REF!=today()+1))</formula>
    </cfRule>
  </conditionalFormatting>
  <conditionalFormatting sqref="E4:E29">
    <cfRule type="cellIs" dxfId="1" priority="2" operator="equal">
      <formula>"Not started"</formula>
    </cfRule>
  </conditionalFormatting>
  <conditionalFormatting sqref="E4:E29">
    <cfRule type="cellIs" dxfId="2" priority="3" operator="equal">
      <formula>"In progress"</formula>
    </cfRule>
  </conditionalFormatting>
  <conditionalFormatting sqref="A4:K29">
    <cfRule type="expression" dxfId="3" priority="4">
      <formula>RegExMatch(($E4),"Done")</formula>
    </cfRule>
  </conditionalFormatting>
  <dataValidations>
    <dataValidation type="custom" allowBlank="1" showInputMessage="1" prompt="Enter a valid date" sqref="J4:J29">
      <formula1>OR(NOT(ISERROR(DATEVALUE(J4))), AND(ISNUMBER(J4), LEFT(CELL("format", J4))="D"))</formula1>
    </dataValidation>
    <dataValidation type="list" allowBlank="1" showInputMessage="1" prompt="Status of this assignment" sqref="E4:E29">
      <formula1>"Not started,In progress,Skipped,Done"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