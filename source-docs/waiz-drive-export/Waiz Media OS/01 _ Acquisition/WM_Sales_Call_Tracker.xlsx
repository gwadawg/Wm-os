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l Log" sheetId="1" r:id="rId5"/>
    <sheet state="visible" name="Objections" sheetId="2" r:id="rId6"/>
    <sheet state="visible" name="ICP Signals" sheetId="3" r:id="rId7"/>
    <sheet state="visible" name="Pattern Summary" sheetId="4" r:id="rId8"/>
  </sheets>
  <definedNames/>
  <calcPr/>
</workbook>
</file>

<file path=xl/sharedStrings.xml><?xml version="1.0" encoding="utf-8"?>
<sst xmlns="http://schemas.openxmlformats.org/spreadsheetml/2006/main" count="365" uniqueCount="201">
  <si>
    <t>Call ID</t>
  </si>
  <si>
    <t>Date</t>
  </si>
  <si>
    <t>Prospect Name</t>
  </si>
  <si>
    <t>Company / Location</t>
  </si>
  <si>
    <t>Stage</t>
  </si>
  <si>
    <t>Outcome</t>
  </si>
  <si>
    <t>CALL-001</t>
  </si>
  <si>
    <t>Apr 15</t>
  </si>
  <si>
    <t>Roger Hutchins</t>
  </si>
  <si>
    <t>New American Funding / TN-VA border</t>
  </si>
  <si>
    <t>Warm</t>
  </si>
  <si>
    <t>Follow-up Apr 30 @ 2:30PM</t>
  </si>
  <si>
    <t>CALL-002</t>
  </si>
  <si>
    <t>—</t>
  </si>
  <si>
    <t>Jeremy Ellyson</t>
  </si>
  <si>
    <t>Reliable Mortgage / Henderson NV</t>
  </si>
  <si>
    <t>CLOSED — $47 bootcamp; upsell path established</t>
  </si>
  <si>
    <t>CALL-003</t>
  </si>
  <si>
    <t>Apr 10</t>
  </si>
  <si>
    <t>Brian Thomas</t>
  </si>
  <si>
    <t>Solo LO / California</t>
  </si>
  <si>
    <t>Follow-up Apr 10 @ 1PM — pending owner meeting</t>
  </si>
  <si>
    <t>CALL-004</t>
  </si>
  <si>
    <t>Felton Leagons</t>
  </si>
  <si>
    <t>Solo Broker / Upland CA</t>
  </si>
  <si>
    <t>Cold</t>
  </si>
  <si>
    <t>Not booked — 'I'll get back in a couple days'</t>
  </si>
  <si>
    <t>CALL-005</t>
  </si>
  <si>
    <t>Robert Alfano</t>
  </si>
  <si>
    <t>Solo LO / Georgia + New York</t>
  </si>
  <si>
    <t>Follow-up needed — no call scheduled</t>
  </si>
  <si>
    <t>CALL-006</t>
  </si>
  <si>
    <t>Christian Parada</t>
  </si>
  <si>
    <t>Solo LO / Florida + Minnesota</t>
  </si>
  <si>
    <t>Returning</t>
  </si>
  <si>
    <t>Follow-up same day @ 5:15PM</t>
  </si>
  <si>
    <t>CALL-007</t>
  </si>
  <si>
    <t>Mar 16</t>
  </si>
  <si>
    <t>David Wood</t>
  </si>
  <si>
    <t>Solo LO / Arizona</t>
  </si>
  <si>
    <t>Follow-up next day (Mar 17) — pending competitor call</t>
  </si>
  <si>
    <t>CALL-008</t>
  </si>
  <si>
    <t>JP Dauber</t>
  </si>
  <si>
    <t>Solo LO / CA + FL</t>
  </si>
  <si>
    <t>CLOSED — $2,500 setup + $1,689/month x6</t>
  </si>
  <si>
    <t>CALL-009</t>
  </si>
  <si>
    <t>Mark McVearry</t>
  </si>
  <si>
    <t>Solo LO / MD + DC + VA</t>
  </si>
  <si>
    <t>CLOSED — month-to-month, $199 setup</t>
  </si>
  <si>
    <t>CALL-010</t>
  </si>
  <si>
    <t>Tom Dowden</t>
  </si>
  <si>
    <t>Solo Broker / Fayetteville AR</t>
  </si>
  <si>
    <t>CLOSED — $1,100/month x3 months</t>
  </si>
  <si>
    <t>SUMMARY</t>
  </si>
  <si>
    <t>Objection (Paraphrase)</t>
  </si>
  <si>
    <t>Category</t>
  </si>
  <si>
    <t>Resolved</t>
  </si>
  <si>
    <t>"Lead systems work you to death but you don't get much out of them"</t>
  </si>
  <si>
    <t>Trust/Credibility</t>
  </si>
  <si>
    <t>Partial</t>
  </si>
  <si>
    <t>"I run a tight P&amp;L — spending extra when I'm doing all right is hard"</t>
  </si>
  <si>
    <t>Price/ROI</t>
  </si>
  <si>
    <t>"I'm not a same-day decision maker — I talk to my wife about everything"</t>
  </si>
  <si>
    <t>Timing</t>
  </si>
  <si>
    <t>Yes</t>
  </si>
  <si>
    <t>"Hiring LOs — those days are past me"</t>
  </si>
  <si>
    <t>Capacity</t>
  </si>
  <si>
    <t>"I don't have a ton of money — piecing things together on a shoestring"</t>
  </si>
  <si>
    <t>"I'd love for somebody to do it for me — I've got plenty on my plate"</t>
  </si>
  <si>
    <t>"If I do the $47 and want to switch to the $1K later — is that possible?"</t>
  </si>
  <si>
    <t>Full-service doesn't pencil at 1% comp (implicit)</t>
  </si>
  <si>
    <t>Tech/login friction with Skool and Zelle</t>
  </si>
  <si>
    <t>Other</t>
  </si>
  <si>
    <t>"My owner needs to approve this — meeting him tomorrow"</t>
  </si>
  <si>
    <t>"He's been burned — paid $5K to a lead company and it didn't work"</t>
  </si>
  <si>
    <t>"I'm getting material from other people and it didn't work"</t>
  </si>
  <si>
    <t>Hesitancy about self-funding vs. owner paying (implicit)</t>
  </si>
  <si>
    <t>"Spent $10K–$15K on lead gen — wrong numbers, missed calls, nothing materialized"</t>
  </si>
  <si>
    <t>"Everything comes down to cost — $500–$1K is my range"</t>
  </si>
  <si>
    <t>"I'm skeptical at anything" — paying two vendors with zero results</t>
  </si>
  <si>
    <t>Waiting for a business loan before investing in a real program</t>
  </si>
  <si>
    <t>No</t>
  </si>
  <si>
    <t>Only available Mondays and lunch breaks — ~20 hrs/week</t>
  </si>
  <si>
    <t>"Tried Hercules Advertising — $8K, 50 leads, 5 conversations, zero qualified, suspected bots"</t>
  </si>
  <si>
    <t>"I just need proof of concept — start small and see what engagement I'm getting"</t>
  </si>
  <si>
    <t>Assumed revenue share model — misunderstood pricing structure</t>
  </si>
  <si>
    <t>"I don't want fluff" — wants nuts and bolts immediately</t>
  </si>
  <si>
    <t>"I'm not sure I want to keep going down the reverse path — may pivot to DSCR"</t>
  </si>
  <si>
    <t>Timing/Other</t>
  </si>
  <si>
    <t>Current agency gave 3 months free remediation — feels obligated to see it through</t>
  </si>
  <si>
    <t>"One loan in three months is not good" — fear of repeating same outcome</t>
  </si>
  <si>
    <t>"Is it really going to take 6–12 months before I start hitting closings?"</t>
  </si>
  <si>
    <t>Concern about budget vs. current agency spend (~$1,500/month)</t>
  </si>
  <si>
    <t>"I have one other marketing company to talk to today — want to compare"</t>
  </si>
  <si>
    <t>Confusion about pricing structure — asked 3 times to understand setup vs. retainer</t>
  </si>
  <si>
    <t>Going to Jamaica for 10 days — concerned about campaign gaps</t>
  </si>
  <si>
    <t>Timing/Capacity</t>
  </si>
  <si>
    <t>"I've been burnt before — companies get defensive when you ask about CPL and cost-per-funding"</t>
  </si>
  <si>
    <t>"You want the full boat upfront without proving anything — competitor wanted $9,700"</t>
  </si>
  <si>
    <t>Competitor's setter lied about location (claimed Atlanta, was in Paraguay)</t>
  </si>
  <si>
    <t>"How much does being remote impact my ability to close?"</t>
  </si>
  <si>
    <t>Capacity/Other</t>
  </si>
  <si>
    <t>Bahamas trip mid-April — concern about campaign gaps</t>
  </si>
  <si>
    <t>"Everybody says they're the greatest — I've kissed a lot of frogs"</t>
  </si>
  <si>
    <t>"It's a little more than I thought it would be"</t>
  </si>
  <si>
    <t>"I don't want to keep paying for something that ain't working — been stuck in contracts before"</t>
  </si>
  <si>
    <t>Virginia targeting pulling low-quality rural leads</t>
  </si>
  <si>
    <t>Capacity/Geographic</t>
  </si>
  <si>
    <t>"It's a little more than I thought" ($1,500/month)</t>
  </si>
  <si>
    <t>"My coaching is $2K/month — I don't want to be anchored to large expenses"</t>
  </si>
  <si>
    <t>"I'd hate to commit without really thinking about what it changes"</t>
  </si>
  <si>
    <t>"What's the worst that happens — I'm calling bad leads"</t>
  </si>
  <si>
    <t>Knew of Wayne Slater — felt his ads would advertise Slater's brand, not his own</t>
  </si>
  <si>
    <t>"What's the time commitment vs. my forward mortgage workload?"</t>
  </si>
  <si>
    <t>"What percentage of your LOs are actually getting what they thought?"</t>
  </si>
  <si>
    <t>Lead Gen Method</t>
  </si>
  <si>
    <t>Core Pain Point</t>
  </si>
  <si>
    <t>Sophistication</t>
  </si>
  <si>
    <t>Top Buying Signal</t>
  </si>
  <si>
    <t>Key Red Flag</t>
  </si>
  <si>
    <t>100% referrals + BCC email campaigns</t>
  </si>
  <si>
    <t>Only 1–2 reverse leads/month; wants $20K–$30K/month income back</t>
  </si>
  <si>
    <t>Advanced</t>
  </si>
  <si>
    <t>Clicked ads repeatedly; 'when I get leads I don't lose them'; booked follow-up</t>
  </si>
  <si>
    <t>Never bought leads in 27 years; needs wife approval; going to Vegas Apr 18–21</t>
  </si>
  <si>
    <t>100% company-provided leads</t>
  </si>
  <si>
    <t>Needs self-gen to hit 2.75% comp; no budget for full-service</t>
  </si>
  <si>
    <t>Intermediate</t>
  </si>
  <si>
    <t>Paid mid-call unprompted; 'you can upsell me later'; 'no-brainer entry point'</t>
  </si>
  <si>
    <t>1% comp — full-service unviable; no reverse closes yet; history of unfinished builds</t>
  </si>
  <si>
    <t>Self-managed mailers (manual, cold outbound only)</t>
  </si>
  <si>
    <t>HECM list has diminishing returns; does everything solo; no inbound experience</t>
  </si>
  <si>
    <t>'If I believe in it I'll go forward for sure'; asked operational detail questions</t>
  </si>
  <si>
    <t>Owner burned before ($5K); zero KPI tracking; prior bad experience with courses</t>
  </si>
  <si>
    <t>Mailers + 2 active vendors (FTH leads + LinkedIn) — all failing</t>
  </si>
  <si>
    <t>Burning money on bad vendors; needs consistent leads to leave day job</t>
  </si>
  <si>
    <t>Beginner-Int</t>
  </si>
  <si>
    <t>Asked about bootcamp unprompted; planning business loan for marketing</t>
  </si>
  <si>
    <t>Funding 2 failing vendors; no loan approval date; near-zero production</t>
  </si>
  <si>
    <t>Word of mouth; all paid channels previously tested and failed</t>
  </si>
  <si>
    <t>Burned by Hercules ($8K, zero ROI); can't get qualified leads despite top 3% closing</t>
  </si>
  <si>
    <t>'I like what you're saying' x2; willing to spend $5K–$20K/month if proven</t>
  </si>
  <si>
    <t>No follow-up booked; self-sufficient — may resist handing off process</t>
  </si>
  <si>
    <t>Paying competitor agency — native FB forms, slow follow-up, no reporting</t>
  </si>
  <si>
    <t>1 funded loan in 3 months; zero transparency from current agency</t>
  </si>
  <si>
    <t>Asked Gabe to 'put something together'; booked same-day follow-up</t>
  </si>
  <si>
    <t>Mid-remediation period with current agency; call cut before pricing presented</t>
  </si>
  <si>
    <t>No active campaigns; prior Google Ads, direct mail, telemarketing</t>
  </si>
  <si>
    <t>Starting from zero in reverse; broker not supportive; never closed a reverse loan</t>
  </si>
  <si>
    <t>'I'd love to work with you'; engaged with pay-in-full savings; next-day decision</t>
  </si>
  <si>
    <t>Competitor call same day; never closed a reverse loan; 27 min of call missing</t>
  </si>
  <si>
    <t>No active reverse gen; prior GHL funnels, PPC, Facebook — all failed</t>
  </si>
  <si>
    <t>Industry opacity; needs income to replace trailing hair salon revenue</t>
  </si>
  <si>
    <t>Cross-referenced testimonials before call; signed contract live; gave CC on call</t>
  </si>
  <si>
    <t>Never closed a reverse loan; dual brokerage compliance; shiny object tendency</t>
  </si>
  <si>
    <t>Meta ads + direct mail + radio + referrals + GHL drip — all active but weak</t>
  </si>
  <si>
    <t>Facebook leads unqualified (LTV issues); wants to only handle closing conversations</t>
  </si>
  <si>
    <t>'You have it'; 'send it over'; credibility fully established mid-call</t>
  </si>
  <si>
    <t>Month-to-month = high churn risk; history of bad vendor experiences</t>
  </si>
  <si>
    <t>Direct mail (no results) + referrals + one webinar; no active CRM</t>
  </si>
  <si>
    <t>Hates referral dependency; wants systematized, scalable business with enterprise value</t>
  </si>
  <si>
    <t>Initiated CC payment himself; articulated full long-term vision unprompted</t>
  </si>
  <si>
    <t>Zero reverse closings; locked into $2K coaching through Oct; small AR market</t>
  </si>
  <si>
    <t>OBJECTION PATTERN TRACKER — 10 CALLS</t>
  </si>
  <si>
    <t>Appearances</t>
  </si>
  <si>
    <t>% of Calls</t>
  </si>
  <si>
    <t>Fully Resolved</t>
  </si>
  <si>
    <t>Resolution Rate</t>
  </si>
  <si>
    <t>Risk Level</t>
  </si>
  <si>
    <t>9/10</t>
  </si>
  <si>
    <t>90%</t>
  </si>
  <si>
    <t>2/9</t>
  </si>
  <si>
    <t>22%</t>
  </si>
  <si>
    <t>CRITICAL</t>
  </si>
  <si>
    <t>8/10</t>
  </si>
  <si>
    <t>80%</t>
  </si>
  <si>
    <t>6/8</t>
  </si>
  <si>
    <t>75%</t>
  </si>
  <si>
    <t>Manageable</t>
  </si>
  <si>
    <t>7/10</t>
  </si>
  <si>
    <t>70%</t>
  </si>
  <si>
    <t>6/7</t>
  </si>
  <si>
    <t>86%</t>
  </si>
  <si>
    <t>Low</t>
  </si>
  <si>
    <t>6/10</t>
  </si>
  <si>
    <t>60%</t>
  </si>
  <si>
    <t>5/6</t>
  </si>
  <si>
    <t>83%</t>
  </si>
  <si>
    <t>ICP — CLOSERS vs. NON-CLOSERS</t>
  </si>
  <si>
    <t>Closers (4/10)</t>
  </si>
  <si>
    <t xml:space="preserve">  ✓  Advanced sophistication in every case</t>
  </si>
  <si>
    <t xml:space="preserve">  ✓  Self-aware about lead problem — know bottleneck is gen, not conversion</t>
  </si>
  <si>
    <t xml:space="preserve">  ✓  Analytically oriented — engaged hardest with verifiable numbers and data</t>
  </si>
  <si>
    <t xml:space="preserve">  ✓  Had already rejected at least one competitor before the call</t>
  </si>
  <si>
    <t xml:space="preserve">  ✓  Articulated a specific revenue goal ($20K–$100K/year)</t>
  </si>
  <si>
    <t xml:space="preserve">  ✓  Asked operational detail questions — reliable signal of mental buy-in</t>
  </si>
  <si>
    <t>Non-Closers / Stalled (6/10)</t>
  </si>
  <si>
    <t xml:space="preserve">  ✗  Mix of sophistication but Beginner-Intermediate skewed toward stalling</t>
  </si>
  <si>
    <t xml:space="preserve">  ✗  External constraints dominated — spousal approval, owner approval, mid-contract</t>
  </si>
  <si>
    <t xml:space="preserve">  ✗  Trust objection remained unresolved in every case — no verifiable proof delivered</t>
  </si>
  <si>
    <t xml:space="preserve">  ✗  Vague or passive goals — 'add a couple more loans' vs. specific number with urgency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</si>
</sst>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0.0"/>
      <color rgb="FFFFFFFF"/>
      <name val="Arial"/>
    </font>
    <font>
      <sz val="10.0"/>
      <color rgb="FF111827"/>
      <name val="Arial"/>
    </font>
    <font>
      <sz val="10.0"/>
      <color rgb="FF92400E"/>
      <name val="Arial"/>
    </font>
    <font>
      <b/>
      <sz val="10.0"/>
      <color rgb="FF065F46"/>
      <name val="Arial"/>
    </font>
    <font>
      <sz val="10.0"/>
      <color rgb="FF991B1B"/>
      <name val="Arial"/>
    </font>
    <font>
      <b/>
      <sz val="10.0"/>
      <color rgb="FF111827"/>
      <name val="Arial"/>
    </font>
    <font>
      <sz val="10.0"/>
      <color rgb="FF374151"/>
      <name val="Arial"/>
    </font>
    <font>
      <sz val="10.0"/>
      <color rgb="FF1E40AF"/>
      <name val="Arial"/>
    </font>
    <font>
      <sz val="10.0"/>
      <color rgb="FF6B21A8"/>
      <name val="Arial"/>
    </font>
    <font>
      <sz val="10.0"/>
      <color rgb="FF166534"/>
      <name val="Arial"/>
    </font>
    <font>
      <sz val="10.0"/>
      <color rgb="FF065F46"/>
      <name val="Arial"/>
    </font>
    <font>
      <b/>
      <sz val="13.0"/>
      <color rgb="FFFFFFFF"/>
      <name val="Arial"/>
    </font>
    <font/>
    <font>
      <b/>
      <sz val="10.0"/>
      <color rgb="FF991B1B"/>
      <name val="Arial"/>
    </font>
    <font>
      <b/>
      <sz val="12.0"/>
      <color rgb="FFFFFF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374151"/>
        <bgColor rgb="FF374151"/>
      </patternFill>
    </fill>
    <fill>
      <patternFill patternType="solid">
        <fgColor rgb="FFF9FAFB"/>
        <bgColor rgb="FFF9FAFB"/>
      </patternFill>
    </fill>
    <fill>
      <patternFill patternType="solid">
        <fgColor rgb="FFFEF3C7"/>
        <bgColor rgb="FFFEF3C7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FEE2E2"/>
        <bgColor rgb="FFFEE2E2"/>
      </patternFill>
    </fill>
    <fill>
      <patternFill patternType="solid">
        <fgColor rgb="FFEFF6FF"/>
        <bgColor rgb="FFEFF6FF"/>
      </patternFill>
    </fill>
    <fill>
      <patternFill patternType="solid">
        <fgColor rgb="FFFDF4FF"/>
        <bgColor rgb="FFFDF4FF"/>
      </patternFill>
    </fill>
    <fill>
      <patternFill patternType="solid">
        <fgColor rgb="FFFFFBEB"/>
        <bgColor rgb="FFFFFBEB"/>
      </patternFill>
    </fill>
    <fill>
      <patternFill patternType="solid">
        <fgColor rgb="FFF0FDF4"/>
        <bgColor rgb="FFF0FDF4"/>
      </patternFill>
    </fill>
    <fill>
      <patternFill patternType="solid">
        <fgColor rgb="FF065F46"/>
        <bgColor rgb="FF065F46"/>
      </patternFill>
    </fill>
    <fill>
      <patternFill patternType="solid">
        <fgColor rgb="FF991B1B"/>
        <bgColor rgb="FF991B1B"/>
      </patternFill>
    </fill>
  </fills>
  <borders count="6">
    <border/>
    <border>
      <left/>
      <right/>
      <top/>
      <bottom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left" shrinkToFit="0" vertical="top" wrapText="1"/>
    </xf>
    <xf borderId="2" fillId="4" fontId="3" numFmtId="0" xfId="0" applyAlignment="1" applyBorder="1" applyFill="1" applyFont="1">
      <alignment horizontal="left" shrinkToFit="0" vertical="top" wrapText="1"/>
    </xf>
    <xf borderId="2" fillId="5" fontId="4" numFmtId="0" xfId="0" applyAlignment="1" applyBorder="1" applyFill="1" applyFont="1">
      <alignment horizontal="left" shrinkToFit="0" vertical="top" wrapText="1"/>
    </xf>
    <xf borderId="2" fillId="6" fontId="3" numFmtId="0" xfId="0" applyAlignment="1" applyBorder="1" applyFill="1" applyFont="1">
      <alignment horizontal="left" shrinkToFit="0" vertical="top" wrapText="1"/>
    </xf>
    <xf borderId="2" fillId="7" fontId="5" numFmtId="0" xfId="0" applyAlignment="1" applyBorder="1" applyFill="1" applyFont="1">
      <alignment horizontal="left" shrinkToFit="0" vertical="top" wrapText="1"/>
    </xf>
    <xf borderId="2" fillId="8" fontId="6" numFmtId="0" xfId="0" applyAlignment="1" applyBorder="1" applyFill="1" applyFont="1">
      <alignment horizontal="left" shrinkToFit="0" vertical="top" wrapText="1"/>
    </xf>
    <xf borderId="0" fillId="0" fontId="7" numFmtId="0" xfId="0" applyFont="1"/>
    <xf borderId="0" fillId="0" fontId="8" numFmtId="0" xfId="0" applyFont="1"/>
    <xf borderId="2" fillId="3" fontId="2" numFmtId="0" xfId="0" applyAlignment="1" applyBorder="1" applyFont="1">
      <alignment horizontal="center" shrinkToFit="0" vertical="top" wrapText="1"/>
    </xf>
    <xf borderId="2" fillId="9" fontId="9" numFmtId="0" xfId="0" applyAlignment="1" applyBorder="1" applyFill="1" applyFont="1">
      <alignment horizontal="center" shrinkToFit="0" vertical="top" wrapText="1"/>
    </xf>
    <xf borderId="2" fillId="5" fontId="4" numFmtId="0" xfId="0" applyAlignment="1" applyBorder="1" applyFont="1">
      <alignment horizontal="center" shrinkToFit="0" vertical="top" wrapText="1"/>
    </xf>
    <xf borderId="2" fillId="10" fontId="10" numFmtId="0" xfId="0" applyAlignment="1" applyBorder="1" applyFill="1" applyFont="1">
      <alignment horizontal="center" shrinkToFit="0" vertical="top" wrapText="1"/>
    </xf>
    <xf borderId="2" fillId="11" fontId="4" numFmtId="0" xfId="0" applyAlignment="1" applyBorder="1" applyFill="1" applyFont="1">
      <alignment horizontal="center" shrinkToFit="0" vertical="top" wrapText="1"/>
    </xf>
    <xf borderId="2" fillId="7" fontId="5" numFmtId="0" xfId="0" applyAlignment="1" applyBorder="1" applyFont="1">
      <alignment horizontal="center" shrinkToFit="0" vertical="top" wrapText="1"/>
    </xf>
    <xf borderId="2" fillId="12" fontId="11" numFmtId="0" xfId="0" applyAlignment="1" applyBorder="1" applyFill="1" applyFont="1">
      <alignment horizontal="center" shrinkToFit="0" vertical="top" wrapText="1"/>
    </xf>
    <xf borderId="2" fillId="4" fontId="8" numFmtId="0" xfId="0" applyAlignment="1" applyBorder="1" applyFont="1">
      <alignment horizontal="center" shrinkToFit="0" vertical="top" wrapText="1"/>
    </xf>
    <xf borderId="2" fillId="8" fontId="6" numFmtId="0" xfId="0" applyAlignment="1" applyBorder="1" applyFont="1">
      <alignment horizontal="center" shrinkToFit="0" vertical="top" wrapText="1"/>
    </xf>
    <xf borderId="2" fillId="7" fontId="12" numFmtId="0" xfId="0" applyAlignment="1" applyBorder="1" applyFont="1">
      <alignment horizontal="left" shrinkToFit="0" vertical="top" wrapText="1"/>
    </xf>
    <xf borderId="3" fillId="2" fontId="13" numFmtId="0" xfId="0" applyAlignment="1" applyBorder="1" applyFont="1">
      <alignment horizontal="center" vertical="center"/>
    </xf>
    <xf borderId="4" fillId="0" fontId="14" numFmtId="0" xfId="0" applyBorder="1" applyFont="1"/>
    <xf borderId="5" fillId="0" fontId="14" numFmtId="0" xfId="0" applyBorder="1" applyFont="1"/>
    <xf borderId="1" fillId="3" fontId="1" numFmtId="0" xfId="0" applyAlignment="1" applyBorder="1" applyFont="1">
      <alignment horizontal="center" vertical="center"/>
    </xf>
    <xf borderId="2" fillId="4" fontId="3" numFmtId="0" xfId="0" applyAlignment="1" applyBorder="1" applyFont="1">
      <alignment horizontal="center" shrinkToFit="0" vertical="top" wrapText="1"/>
    </xf>
    <xf borderId="2" fillId="8" fontId="15" numFmtId="0" xfId="0" applyAlignment="1" applyBorder="1" applyFont="1">
      <alignment horizontal="center" shrinkToFit="0" vertical="top" wrapText="1"/>
    </xf>
    <xf borderId="2" fillId="6" fontId="3" numFmtId="0" xfId="0" applyAlignment="1" applyBorder="1" applyFont="1">
      <alignment horizontal="center" shrinkToFit="0" vertical="top" wrapText="1"/>
    </xf>
    <xf borderId="2" fillId="7" fontId="12" numFmtId="0" xfId="0" applyAlignment="1" applyBorder="1" applyFont="1">
      <alignment horizontal="center" shrinkToFit="0" vertical="top" wrapText="1"/>
    </xf>
    <xf borderId="3" fillId="2" fontId="16" numFmtId="0" xfId="0" applyAlignment="1" applyBorder="1" applyFont="1">
      <alignment horizontal="center" vertical="center"/>
    </xf>
    <xf borderId="3" fillId="13" fontId="1" numFmtId="0" xfId="0" applyAlignment="1" applyBorder="1" applyFill="1" applyFont="1">
      <alignment horizontal="center" vertical="center"/>
    </xf>
    <xf borderId="3" fillId="7" fontId="12" numFmtId="0" xfId="0" applyAlignment="1" applyBorder="1" applyFont="1">
      <alignment horizontal="left" shrinkToFit="0" vertical="center" wrapText="1"/>
    </xf>
    <xf borderId="3" fillId="14" fontId="1" numFmtId="0" xfId="0" applyAlignment="1" applyBorder="1" applyFill="1" applyFont="1">
      <alignment horizontal="center" vertical="center"/>
    </xf>
    <xf borderId="3" fillId="8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24.0"/>
    <col customWidth="1" min="4" max="4" width="28.0"/>
    <col customWidth="1" min="5" max="5" width="14.0"/>
    <col customWidth="1" min="6" max="6" width="36.0"/>
    <col customWidth="1" min="7" max="26" width="8.71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7.75" customHeigh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 ht="27.75" customHeight="1">
      <c r="A3" s="2" t="s">
        <v>12</v>
      </c>
      <c r="B3" s="5" t="s">
        <v>13</v>
      </c>
      <c r="C3" s="5" t="s">
        <v>14</v>
      </c>
      <c r="D3" s="5" t="s">
        <v>15</v>
      </c>
      <c r="E3" s="5" t="s">
        <v>10</v>
      </c>
      <c r="F3" s="6" t="s">
        <v>16</v>
      </c>
    </row>
    <row r="4" ht="27.75" customHeight="1">
      <c r="A4" s="2" t="s">
        <v>17</v>
      </c>
      <c r="B4" s="3" t="s">
        <v>18</v>
      </c>
      <c r="C4" s="3" t="s">
        <v>19</v>
      </c>
      <c r="D4" s="3" t="s">
        <v>20</v>
      </c>
      <c r="E4" s="3" t="s">
        <v>10</v>
      </c>
      <c r="F4" s="4" t="s">
        <v>21</v>
      </c>
    </row>
    <row r="5" ht="27.75" customHeight="1">
      <c r="A5" s="2" t="s">
        <v>22</v>
      </c>
      <c r="B5" s="5" t="s">
        <v>13</v>
      </c>
      <c r="C5" s="5" t="s">
        <v>23</v>
      </c>
      <c r="D5" s="5" t="s">
        <v>24</v>
      </c>
      <c r="E5" s="5" t="s">
        <v>25</v>
      </c>
      <c r="F5" s="7" t="s">
        <v>26</v>
      </c>
    </row>
    <row r="6" ht="27.75" customHeight="1">
      <c r="A6" s="2" t="s">
        <v>27</v>
      </c>
      <c r="B6" s="3" t="s">
        <v>13</v>
      </c>
      <c r="C6" s="3" t="s">
        <v>28</v>
      </c>
      <c r="D6" s="3" t="s">
        <v>29</v>
      </c>
      <c r="E6" s="3" t="s">
        <v>10</v>
      </c>
      <c r="F6" s="4" t="s">
        <v>30</v>
      </c>
    </row>
    <row r="7" ht="27.75" customHeight="1">
      <c r="A7" s="2" t="s">
        <v>31</v>
      </c>
      <c r="B7" s="5" t="s">
        <v>13</v>
      </c>
      <c r="C7" s="5" t="s">
        <v>32</v>
      </c>
      <c r="D7" s="5" t="s">
        <v>33</v>
      </c>
      <c r="E7" s="5" t="s">
        <v>34</v>
      </c>
      <c r="F7" s="4" t="s">
        <v>35</v>
      </c>
    </row>
    <row r="8" ht="27.75" customHeight="1">
      <c r="A8" s="2" t="s">
        <v>36</v>
      </c>
      <c r="B8" s="3" t="s">
        <v>37</v>
      </c>
      <c r="C8" s="3" t="s">
        <v>38</v>
      </c>
      <c r="D8" s="3" t="s">
        <v>39</v>
      </c>
      <c r="E8" s="3" t="s">
        <v>10</v>
      </c>
      <c r="F8" s="4" t="s">
        <v>40</v>
      </c>
    </row>
    <row r="9" ht="27.75" customHeight="1">
      <c r="A9" s="2" t="s">
        <v>41</v>
      </c>
      <c r="B9" s="5" t="s">
        <v>13</v>
      </c>
      <c r="C9" s="5" t="s">
        <v>42</v>
      </c>
      <c r="D9" s="5" t="s">
        <v>43</v>
      </c>
      <c r="E9" s="5" t="s">
        <v>10</v>
      </c>
      <c r="F9" s="6" t="s">
        <v>44</v>
      </c>
    </row>
    <row r="10" ht="27.75" customHeight="1">
      <c r="A10" s="2" t="s">
        <v>45</v>
      </c>
      <c r="B10" s="3" t="s">
        <v>13</v>
      </c>
      <c r="C10" s="3" t="s">
        <v>46</v>
      </c>
      <c r="D10" s="3" t="s">
        <v>47</v>
      </c>
      <c r="E10" s="3" t="s">
        <v>34</v>
      </c>
      <c r="F10" s="6" t="s">
        <v>48</v>
      </c>
    </row>
    <row r="11" ht="27.75" customHeight="1">
      <c r="A11" s="2" t="s">
        <v>49</v>
      </c>
      <c r="B11" s="5" t="s">
        <v>13</v>
      </c>
      <c r="C11" s="5" t="s">
        <v>50</v>
      </c>
      <c r="D11" s="5" t="s">
        <v>51</v>
      </c>
      <c r="E11" s="5" t="s">
        <v>10</v>
      </c>
      <c r="F11" s="6" t="s">
        <v>52</v>
      </c>
    </row>
    <row r="13">
      <c r="A13" s="8" t="s">
        <v>53</v>
      </c>
      <c r="B13" s="9" t="str">
        <f>COUNTIF(F2:F11,"*CLOSED*")&amp;" closed / 10 calls"</f>
        <v>4 closed / 10 calls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64.0"/>
    <col customWidth="1" min="3" max="3" width="24.0"/>
    <col customWidth="1" min="4" max="4" width="14.0"/>
    <col customWidth="1" min="5" max="26" width="8.71"/>
  </cols>
  <sheetData>
    <row r="1" ht="36.0" customHeight="1">
      <c r="A1" s="1" t="s">
        <v>0</v>
      </c>
      <c r="B1" s="1" t="s">
        <v>54</v>
      </c>
      <c r="C1" s="1" t="s">
        <v>55</v>
      </c>
      <c r="D1" s="1" t="s">
        <v>56</v>
      </c>
    </row>
    <row r="2" ht="31.5" customHeight="1">
      <c r="A2" s="10" t="s">
        <v>6</v>
      </c>
      <c r="B2" s="3" t="s">
        <v>57</v>
      </c>
      <c r="C2" s="11" t="s">
        <v>58</v>
      </c>
      <c r="D2" s="12" t="s">
        <v>59</v>
      </c>
    </row>
    <row r="3" ht="31.5" customHeight="1">
      <c r="A3" s="10" t="s">
        <v>6</v>
      </c>
      <c r="B3" s="5" t="s">
        <v>60</v>
      </c>
      <c r="C3" s="13" t="s">
        <v>61</v>
      </c>
      <c r="D3" s="12" t="s">
        <v>59</v>
      </c>
    </row>
    <row r="4" ht="31.5" customHeight="1">
      <c r="A4" s="10" t="s">
        <v>6</v>
      </c>
      <c r="B4" s="3" t="s">
        <v>62</v>
      </c>
      <c r="C4" s="14" t="s">
        <v>63</v>
      </c>
      <c r="D4" s="15" t="s">
        <v>64</v>
      </c>
    </row>
    <row r="5" ht="31.5" customHeight="1">
      <c r="A5" s="10" t="s">
        <v>6</v>
      </c>
      <c r="B5" s="5" t="s">
        <v>65</v>
      </c>
      <c r="C5" s="16" t="s">
        <v>66</v>
      </c>
      <c r="D5" s="15" t="s">
        <v>64</v>
      </c>
    </row>
    <row r="6" ht="31.5" customHeight="1">
      <c r="A6" s="10" t="s">
        <v>12</v>
      </c>
      <c r="B6" s="3" t="s">
        <v>67</v>
      </c>
      <c r="C6" s="13" t="s">
        <v>61</v>
      </c>
      <c r="D6" s="15" t="s">
        <v>64</v>
      </c>
    </row>
    <row r="7" ht="31.5" customHeight="1">
      <c r="A7" s="10" t="s">
        <v>12</v>
      </c>
      <c r="B7" s="5" t="s">
        <v>68</v>
      </c>
      <c r="C7" s="16" t="s">
        <v>66</v>
      </c>
      <c r="D7" s="15" t="s">
        <v>64</v>
      </c>
    </row>
    <row r="8" ht="31.5" customHeight="1">
      <c r="A8" s="10" t="s">
        <v>12</v>
      </c>
      <c r="B8" s="3" t="s">
        <v>69</v>
      </c>
      <c r="C8" s="13" t="s">
        <v>61</v>
      </c>
      <c r="D8" s="15" t="s">
        <v>64</v>
      </c>
    </row>
    <row r="9" ht="31.5" customHeight="1">
      <c r="A9" s="10" t="s">
        <v>12</v>
      </c>
      <c r="B9" s="5" t="s">
        <v>70</v>
      </c>
      <c r="C9" s="13" t="s">
        <v>61</v>
      </c>
      <c r="D9" s="15" t="s">
        <v>64</v>
      </c>
    </row>
    <row r="10" ht="31.5" customHeight="1">
      <c r="A10" s="10" t="s">
        <v>12</v>
      </c>
      <c r="B10" s="3" t="s">
        <v>71</v>
      </c>
      <c r="C10" s="17" t="s">
        <v>72</v>
      </c>
      <c r="D10" s="15" t="s">
        <v>64</v>
      </c>
    </row>
    <row r="11" ht="31.5" customHeight="1">
      <c r="A11" s="10" t="s">
        <v>17</v>
      </c>
      <c r="B11" s="5" t="s">
        <v>73</v>
      </c>
      <c r="C11" s="14" t="s">
        <v>63</v>
      </c>
      <c r="D11" s="12" t="s">
        <v>59</v>
      </c>
    </row>
    <row r="12" ht="31.5" customHeight="1">
      <c r="A12" s="10" t="s">
        <v>17</v>
      </c>
      <c r="B12" s="3" t="s">
        <v>74</v>
      </c>
      <c r="C12" s="11" t="s">
        <v>58</v>
      </c>
      <c r="D12" s="12" t="s">
        <v>59</v>
      </c>
    </row>
    <row r="13" ht="31.5" customHeight="1">
      <c r="A13" s="10" t="s">
        <v>17</v>
      </c>
      <c r="B13" s="5" t="s">
        <v>75</v>
      </c>
      <c r="C13" s="11" t="s">
        <v>58</v>
      </c>
      <c r="D13" s="12" t="s">
        <v>59</v>
      </c>
    </row>
    <row r="14" ht="31.5" customHeight="1">
      <c r="A14" s="10" t="s">
        <v>17</v>
      </c>
      <c r="B14" s="3" t="s">
        <v>76</v>
      </c>
      <c r="C14" s="13" t="s">
        <v>61</v>
      </c>
      <c r="D14" s="15" t="s">
        <v>64</v>
      </c>
    </row>
    <row r="15" ht="31.5" customHeight="1">
      <c r="A15" s="10" t="s">
        <v>22</v>
      </c>
      <c r="B15" s="5" t="s">
        <v>77</v>
      </c>
      <c r="C15" s="11" t="s">
        <v>58</v>
      </c>
      <c r="D15" s="12" t="s">
        <v>59</v>
      </c>
    </row>
    <row r="16" ht="31.5" customHeight="1">
      <c r="A16" s="10" t="s">
        <v>22</v>
      </c>
      <c r="B16" s="3" t="s">
        <v>78</v>
      </c>
      <c r="C16" s="13" t="s">
        <v>61</v>
      </c>
      <c r="D16" s="12" t="s">
        <v>59</v>
      </c>
    </row>
    <row r="17" ht="31.5" customHeight="1">
      <c r="A17" s="10" t="s">
        <v>22</v>
      </c>
      <c r="B17" s="5" t="s">
        <v>79</v>
      </c>
      <c r="C17" s="11" t="s">
        <v>58</v>
      </c>
      <c r="D17" s="12" t="s">
        <v>59</v>
      </c>
    </row>
    <row r="18" ht="31.5" customHeight="1">
      <c r="A18" s="10" t="s">
        <v>22</v>
      </c>
      <c r="B18" s="3" t="s">
        <v>80</v>
      </c>
      <c r="C18" s="14" t="s">
        <v>63</v>
      </c>
      <c r="D18" s="18" t="s">
        <v>81</v>
      </c>
    </row>
    <row r="19" ht="31.5" customHeight="1">
      <c r="A19" s="10" t="s">
        <v>22</v>
      </c>
      <c r="B19" s="5" t="s">
        <v>82</v>
      </c>
      <c r="C19" s="16" t="s">
        <v>66</v>
      </c>
      <c r="D19" s="12" t="s">
        <v>59</v>
      </c>
    </row>
    <row r="20" ht="31.5" customHeight="1">
      <c r="A20" s="10" t="s">
        <v>27</v>
      </c>
      <c r="B20" s="3" t="s">
        <v>83</v>
      </c>
      <c r="C20" s="11" t="s">
        <v>58</v>
      </c>
      <c r="D20" s="12" t="s">
        <v>59</v>
      </c>
    </row>
    <row r="21" ht="31.5" customHeight="1">
      <c r="A21" s="10" t="s">
        <v>27</v>
      </c>
      <c r="B21" s="5" t="s">
        <v>84</v>
      </c>
      <c r="C21" s="11" t="s">
        <v>58</v>
      </c>
      <c r="D21" s="12" t="s">
        <v>59</v>
      </c>
    </row>
    <row r="22" ht="31.5" customHeight="1">
      <c r="A22" s="10" t="s">
        <v>27</v>
      </c>
      <c r="B22" s="3" t="s">
        <v>85</v>
      </c>
      <c r="C22" s="17" t="s">
        <v>72</v>
      </c>
      <c r="D22" s="15" t="s">
        <v>64</v>
      </c>
    </row>
    <row r="23" ht="31.5" customHeight="1">
      <c r="A23" s="10" t="s">
        <v>27</v>
      </c>
      <c r="B23" s="5" t="s">
        <v>86</v>
      </c>
      <c r="C23" s="17" t="s">
        <v>72</v>
      </c>
      <c r="D23" s="15" t="s">
        <v>64</v>
      </c>
    </row>
    <row r="24" ht="31.5" customHeight="1">
      <c r="A24" s="10" t="s">
        <v>31</v>
      </c>
      <c r="B24" s="3" t="s">
        <v>87</v>
      </c>
      <c r="C24" s="14" t="s">
        <v>88</v>
      </c>
      <c r="D24" s="15" t="s">
        <v>64</v>
      </c>
    </row>
    <row r="25" ht="31.5" customHeight="1">
      <c r="A25" s="10" t="s">
        <v>31</v>
      </c>
      <c r="B25" s="5" t="s">
        <v>89</v>
      </c>
      <c r="C25" s="14" t="s">
        <v>63</v>
      </c>
      <c r="D25" s="15" t="s">
        <v>64</v>
      </c>
    </row>
    <row r="26" ht="31.5" customHeight="1">
      <c r="A26" s="10" t="s">
        <v>31</v>
      </c>
      <c r="B26" s="3" t="s">
        <v>90</v>
      </c>
      <c r="C26" s="11" t="s">
        <v>58</v>
      </c>
      <c r="D26" s="12" t="s">
        <v>59</v>
      </c>
    </row>
    <row r="27" ht="31.5" customHeight="1">
      <c r="A27" s="10" t="s">
        <v>31</v>
      </c>
      <c r="B27" s="5" t="s">
        <v>91</v>
      </c>
      <c r="C27" s="14" t="s">
        <v>63</v>
      </c>
      <c r="D27" s="15" t="s">
        <v>64</v>
      </c>
    </row>
    <row r="28" ht="31.5" customHeight="1">
      <c r="A28" s="10" t="s">
        <v>31</v>
      </c>
      <c r="B28" s="3" t="s">
        <v>92</v>
      </c>
      <c r="C28" s="13" t="s">
        <v>61</v>
      </c>
      <c r="D28" s="12" t="s">
        <v>59</v>
      </c>
    </row>
    <row r="29" ht="31.5" customHeight="1">
      <c r="A29" s="10" t="s">
        <v>36</v>
      </c>
      <c r="B29" s="5" t="s">
        <v>93</v>
      </c>
      <c r="C29" s="11" t="s">
        <v>58</v>
      </c>
      <c r="D29" s="12" t="s">
        <v>59</v>
      </c>
    </row>
    <row r="30" ht="31.5" customHeight="1">
      <c r="A30" s="10" t="s">
        <v>36</v>
      </c>
      <c r="B30" s="3" t="s">
        <v>94</v>
      </c>
      <c r="C30" s="13" t="s">
        <v>61</v>
      </c>
      <c r="D30" s="15" t="s">
        <v>64</v>
      </c>
    </row>
    <row r="31" ht="31.5" customHeight="1">
      <c r="A31" s="10" t="s">
        <v>36</v>
      </c>
      <c r="B31" s="5" t="s">
        <v>95</v>
      </c>
      <c r="C31" s="14" t="s">
        <v>96</v>
      </c>
      <c r="D31" s="15" t="s">
        <v>64</v>
      </c>
    </row>
    <row r="32" ht="31.5" customHeight="1">
      <c r="A32" s="10" t="s">
        <v>41</v>
      </c>
      <c r="B32" s="3" t="s">
        <v>97</v>
      </c>
      <c r="C32" s="11" t="s">
        <v>58</v>
      </c>
      <c r="D32" s="15" t="s">
        <v>64</v>
      </c>
    </row>
    <row r="33" ht="31.5" customHeight="1">
      <c r="A33" s="10" t="s">
        <v>41</v>
      </c>
      <c r="B33" s="5" t="s">
        <v>98</v>
      </c>
      <c r="C33" s="13" t="s">
        <v>61</v>
      </c>
      <c r="D33" s="15" t="s">
        <v>64</v>
      </c>
    </row>
    <row r="34" ht="31.5" customHeight="1">
      <c r="A34" s="10" t="s">
        <v>41</v>
      </c>
      <c r="B34" s="3" t="s">
        <v>99</v>
      </c>
      <c r="C34" s="11" t="s">
        <v>58</v>
      </c>
      <c r="D34" s="15" t="s">
        <v>64</v>
      </c>
    </row>
    <row r="35" ht="31.5" customHeight="1">
      <c r="A35" s="10" t="s">
        <v>41</v>
      </c>
      <c r="B35" s="5" t="s">
        <v>100</v>
      </c>
      <c r="C35" s="16" t="s">
        <v>101</v>
      </c>
      <c r="D35" s="15" t="s">
        <v>64</v>
      </c>
    </row>
    <row r="36" ht="31.5" customHeight="1">
      <c r="A36" s="10" t="s">
        <v>41</v>
      </c>
      <c r="B36" s="3" t="s">
        <v>102</v>
      </c>
      <c r="C36" s="14" t="s">
        <v>96</v>
      </c>
      <c r="D36" s="15" t="s">
        <v>64</v>
      </c>
    </row>
    <row r="37" ht="31.5" customHeight="1">
      <c r="A37" s="10" t="s">
        <v>45</v>
      </c>
      <c r="B37" s="5" t="s">
        <v>103</v>
      </c>
      <c r="C37" s="11" t="s">
        <v>58</v>
      </c>
      <c r="D37" s="12" t="s">
        <v>59</v>
      </c>
    </row>
    <row r="38" ht="31.5" customHeight="1">
      <c r="A38" s="10" t="s">
        <v>45</v>
      </c>
      <c r="B38" s="3" t="s">
        <v>104</v>
      </c>
      <c r="C38" s="13" t="s">
        <v>61</v>
      </c>
      <c r="D38" s="15" t="s">
        <v>64</v>
      </c>
    </row>
    <row r="39" ht="31.5" customHeight="1">
      <c r="A39" s="10" t="s">
        <v>45</v>
      </c>
      <c r="B39" s="5" t="s">
        <v>105</v>
      </c>
      <c r="C39" s="11" t="s">
        <v>58</v>
      </c>
      <c r="D39" s="15" t="s">
        <v>64</v>
      </c>
    </row>
    <row r="40" ht="31.5" customHeight="1">
      <c r="A40" s="10" t="s">
        <v>45</v>
      </c>
      <c r="B40" s="3" t="s">
        <v>106</v>
      </c>
      <c r="C40" s="16" t="s">
        <v>107</v>
      </c>
      <c r="D40" s="15" t="s">
        <v>64</v>
      </c>
    </row>
    <row r="41" ht="31.5" customHeight="1">
      <c r="A41" s="10" t="s">
        <v>49</v>
      </c>
      <c r="B41" s="5" t="s">
        <v>108</v>
      </c>
      <c r="C41" s="13" t="s">
        <v>61</v>
      </c>
      <c r="D41" s="15" t="s">
        <v>64</v>
      </c>
    </row>
    <row r="42" ht="31.5" customHeight="1">
      <c r="A42" s="10" t="s">
        <v>49</v>
      </c>
      <c r="B42" s="3" t="s">
        <v>109</v>
      </c>
      <c r="C42" s="13" t="s">
        <v>61</v>
      </c>
      <c r="D42" s="12" t="s">
        <v>59</v>
      </c>
    </row>
    <row r="43" ht="31.5" customHeight="1">
      <c r="A43" s="10" t="s">
        <v>49</v>
      </c>
      <c r="B43" s="5" t="s">
        <v>110</v>
      </c>
      <c r="C43" s="14" t="s">
        <v>63</v>
      </c>
      <c r="D43" s="15" t="s">
        <v>64</v>
      </c>
    </row>
    <row r="44" ht="31.5" customHeight="1">
      <c r="A44" s="10" t="s">
        <v>49</v>
      </c>
      <c r="B44" s="3" t="s">
        <v>111</v>
      </c>
      <c r="C44" s="11" t="s">
        <v>58</v>
      </c>
      <c r="D44" s="15" t="s">
        <v>64</v>
      </c>
    </row>
    <row r="45" ht="31.5" customHeight="1">
      <c r="A45" s="10" t="s">
        <v>49</v>
      </c>
      <c r="B45" s="5" t="s">
        <v>112</v>
      </c>
      <c r="C45" s="11" t="s">
        <v>58</v>
      </c>
      <c r="D45" s="15" t="s">
        <v>64</v>
      </c>
    </row>
    <row r="46" ht="31.5" customHeight="1">
      <c r="A46" s="10" t="s">
        <v>49</v>
      </c>
      <c r="B46" s="3" t="s">
        <v>113</v>
      </c>
      <c r="C46" s="16" t="s">
        <v>66</v>
      </c>
      <c r="D46" s="15" t="s">
        <v>64</v>
      </c>
    </row>
    <row r="47" ht="31.5" customHeight="1">
      <c r="A47" s="10" t="s">
        <v>49</v>
      </c>
      <c r="B47" s="5" t="s">
        <v>114</v>
      </c>
      <c r="C47" s="11" t="s">
        <v>58</v>
      </c>
      <c r="D47" s="12" t="s">
        <v>59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3" width="36.0"/>
    <col customWidth="1" min="4" max="4" width="16.0"/>
    <col customWidth="1" min="5" max="6" width="40.0"/>
    <col customWidth="1" min="7" max="26" width="8.71"/>
  </cols>
  <sheetData>
    <row r="1" ht="36.0" customHeight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</row>
    <row r="2" ht="51.75" customHeight="1">
      <c r="A2" s="10" t="s">
        <v>6</v>
      </c>
      <c r="B2" s="3" t="s">
        <v>120</v>
      </c>
      <c r="C2" s="3" t="s">
        <v>121</v>
      </c>
      <c r="D2" s="11" t="s">
        <v>122</v>
      </c>
      <c r="E2" s="19" t="s">
        <v>123</v>
      </c>
      <c r="F2" s="7" t="s">
        <v>124</v>
      </c>
    </row>
    <row r="3" ht="51.75" customHeight="1">
      <c r="A3" s="10" t="s">
        <v>12</v>
      </c>
      <c r="B3" s="5" t="s">
        <v>125</v>
      </c>
      <c r="C3" s="5" t="s">
        <v>126</v>
      </c>
      <c r="D3" s="16" t="s">
        <v>127</v>
      </c>
      <c r="E3" s="19" t="s">
        <v>128</v>
      </c>
      <c r="F3" s="7" t="s">
        <v>129</v>
      </c>
    </row>
    <row r="4" ht="51.75" customHeight="1">
      <c r="A4" s="10" t="s">
        <v>17</v>
      </c>
      <c r="B4" s="3" t="s">
        <v>130</v>
      </c>
      <c r="C4" s="3" t="s">
        <v>131</v>
      </c>
      <c r="D4" s="16" t="s">
        <v>127</v>
      </c>
      <c r="E4" s="19" t="s">
        <v>132</v>
      </c>
      <c r="F4" s="7" t="s">
        <v>133</v>
      </c>
    </row>
    <row r="5" ht="51.75" customHeight="1">
      <c r="A5" s="10" t="s">
        <v>22</v>
      </c>
      <c r="B5" s="5" t="s">
        <v>134</v>
      </c>
      <c r="C5" s="5" t="s">
        <v>135</v>
      </c>
      <c r="D5" s="14" t="s">
        <v>136</v>
      </c>
      <c r="E5" s="19" t="s">
        <v>137</v>
      </c>
      <c r="F5" s="7" t="s">
        <v>138</v>
      </c>
    </row>
    <row r="6" ht="51.75" customHeight="1">
      <c r="A6" s="10" t="s">
        <v>27</v>
      </c>
      <c r="B6" s="3" t="s">
        <v>139</v>
      </c>
      <c r="C6" s="3" t="s">
        <v>140</v>
      </c>
      <c r="D6" s="11" t="s">
        <v>122</v>
      </c>
      <c r="E6" s="19" t="s">
        <v>141</v>
      </c>
      <c r="F6" s="7" t="s">
        <v>142</v>
      </c>
    </row>
    <row r="7" ht="51.75" customHeight="1">
      <c r="A7" s="10" t="s">
        <v>31</v>
      </c>
      <c r="B7" s="5" t="s">
        <v>143</v>
      </c>
      <c r="C7" s="5" t="s">
        <v>144</v>
      </c>
      <c r="D7" s="11" t="s">
        <v>122</v>
      </c>
      <c r="E7" s="19" t="s">
        <v>145</v>
      </c>
      <c r="F7" s="7" t="s">
        <v>146</v>
      </c>
    </row>
    <row r="8" ht="51.75" customHeight="1">
      <c r="A8" s="10" t="s">
        <v>36</v>
      </c>
      <c r="B8" s="3" t="s">
        <v>147</v>
      </c>
      <c r="C8" s="3" t="s">
        <v>148</v>
      </c>
      <c r="D8" s="16" t="s">
        <v>127</v>
      </c>
      <c r="E8" s="19" t="s">
        <v>149</v>
      </c>
      <c r="F8" s="7" t="s">
        <v>150</v>
      </c>
    </row>
    <row r="9" ht="51.75" customHeight="1">
      <c r="A9" s="10" t="s">
        <v>41</v>
      </c>
      <c r="B9" s="5" t="s">
        <v>151</v>
      </c>
      <c r="C9" s="5" t="s">
        <v>152</v>
      </c>
      <c r="D9" s="11" t="s">
        <v>122</v>
      </c>
      <c r="E9" s="19" t="s">
        <v>153</v>
      </c>
      <c r="F9" s="7" t="s">
        <v>154</v>
      </c>
    </row>
    <row r="10" ht="51.75" customHeight="1">
      <c r="A10" s="10" t="s">
        <v>45</v>
      </c>
      <c r="B10" s="3" t="s">
        <v>155</v>
      </c>
      <c r="C10" s="3" t="s">
        <v>156</v>
      </c>
      <c r="D10" s="11" t="s">
        <v>122</v>
      </c>
      <c r="E10" s="19" t="s">
        <v>157</v>
      </c>
      <c r="F10" s="7" t="s">
        <v>158</v>
      </c>
    </row>
    <row r="11" ht="51.75" customHeight="1">
      <c r="A11" s="10" t="s">
        <v>49</v>
      </c>
      <c r="B11" s="5" t="s">
        <v>159</v>
      </c>
      <c r="C11" s="5" t="s">
        <v>160</v>
      </c>
      <c r="D11" s="11" t="s">
        <v>122</v>
      </c>
      <c r="E11" s="19" t="s">
        <v>161</v>
      </c>
      <c r="F11" s="7" t="s">
        <v>162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0.0"/>
    <col customWidth="1" min="2" max="6" width="16.0"/>
    <col customWidth="1" min="7" max="26" width="8.71"/>
  </cols>
  <sheetData>
    <row r="1" ht="39.75" customHeight="1">
      <c r="A1" s="20" t="s">
        <v>163</v>
      </c>
      <c r="B1" s="21"/>
      <c r="C1" s="21"/>
      <c r="D1" s="21"/>
      <c r="E1" s="21"/>
      <c r="F1" s="22"/>
    </row>
    <row r="3">
      <c r="A3" s="23" t="s">
        <v>55</v>
      </c>
      <c r="B3" s="23" t="s">
        <v>164</v>
      </c>
      <c r="C3" s="23" t="s">
        <v>165</v>
      </c>
      <c r="D3" s="23" t="s">
        <v>166</v>
      </c>
      <c r="E3" s="23" t="s">
        <v>167</v>
      </c>
      <c r="F3" s="23" t="s">
        <v>168</v>
      </c>
    </row>
    <row r="4" ht="25.5" customHeight="1">
      <c r="A4" s="3" t="s">
        <v>58</v>
      </c>
      <c r="B4" s="24" t="s">
        <v>169</v>
      </c>
      <c r="C4" s="24" t="s">
        <v>170</v>
      </c>
      <c r="D4" s="24" t="s">
        <v>171</v>
      </c>
      <c r="E4" s="24" t="s">
        <v>172</v>
      </c>
      <c r="F4" s="25" t="s">
        <v>173</v>
      </c>
    </row>
    <row r="5" ht="25.5" customHeight="1">
      <c r="A5" s="5" t="s">
        <v>61</v>
      </c>
      <c r="B5" s="26" t="s">
        <v>174</v>
      </c>
      <c r="C5" s="26" t="s">
        <v>175</v>
      </c>
      <c r="D5" s="26" t="s">
        <v>176</v>
      </c>
      <c r="E5" s="26" t="s">
        <v>177</v>
      </c>
      <c r="F5" s="12" t="s">
        <v>178</v>
      </c>
    </row>
    <row r="6" ht="25.5" customHeight="1">
      <c r="A6" s="3" t="s">
        <v>63</v>
      </c>
      <c r="B6" s="24" t="s">
        <v>179</v>
      </c>
      <c r="C6" s="24" t="s">
        <v>180</v>
      </c>
      <c r="D6" s="24" t="s">
        <v>181</v>
      </c>
      <c r="E6" s="24" t="s">
        <v>182</v>
      </c>
      <c r="F6" s="27" t="s">
        <v>183</v>
      </c>
    </row>
    <row r="7" ht="25.5" customHeight="1">
      <c r="A7" s="5" t="s">
        <v>66</v>
      </c>
      <c r="B7" s="26" t="s">
        <v>184</v>
      </c>
      <c r="C7" s="26" t="s">
        <v>185</v>
      </c>
      <c r="D7" s="26" t="s">
        <v>186</v>
      </c>
      <c r="E7" s="26" t="s">
        <v>187</v>
      </c>
      <c r="F7" s="27" t="s">
        <v>183</v>
      </c>
    </row>
    <row r="9" ht="31.5" customHeight="1">
      <c r="A9" s="28" t="s">
        <v>188</v>
      </c>
      <c r="B9" s="21"/>
      <c r="C9" s="21"/>
      <c r="D9" s="21"/>
      <c r="E9" s="21"/>
      <c r="F9" s="22"/>
    </row>
    <row r="10">
      <c r="A10" s="29" t="s">
        <v>189</v>
      </c>
      <c r="B10" s="21"/>
      <c r="C10" s="21"/>
      <c r="D10" s="21"/>
      <c r="E10" s="21"/>
      <c r="F10" s="22"/>
    </row>
    <row r="11" ht="21.75" customHeight="1">
      <c r="A11" s="30" t="s">
        <v>190</v>
      </c>
      <c r="B11" s="21"/>
      <c r="C11" s="21"/>
      <c r="D11" s="21"/>
      <c r="E11" s="21"/>
      <c r="F11" s="22"/>
    </row>
    <row r="12" ht="21.75" customHeight="1">
      <c r="A12" s="30" t="s">
        <v>191</v>
      </c>
      <c r="B12" s="21"/>
      <c r="C12" s="21"/>
      <c r="D12" s="21"/>
      <c r="E12" s="21"/>
      <c r="F12" s="22"/>
    </row>
    <row r="13" ht="21.75" customHeight="1">
      <c r="A13" s="30" t="s">
        <v>192</v>
      </c>
      <c r="B13" s="21"/>
      <c r="C13" s="21"/>
      <c r="D13" s="21"/>
      <c r="E13" s="21"/>
      <c r="F13" s="22"/>
    </row>
    <row r="14" ht="21.75" customHeight="1">
      <c r="A14" s="30" t="s">
        <v>193</v>
      </c>
      <c r="B14" s="21"/>
      <c r="C14" s="21"/>
      <c r="D14" s="21"/>
      <c r="E14" s="21"/>
      <c r="F14" s="22"/>
    </row>
    <row r="15" ht="21.75" customHeight="1">
      <c r="A15" s="30" t="s">
        <v>194</v>
      </c>
      <c r="B15" s="21"/>
      <c r="C15" s="21"/>
      <c r="D15" s="21"/>
      <c r="E15" s="21"/>
      <c r="F15" s="22"/>
    </row>
    <row r="16" ht="21.75" customHeight="1">
      <c r="A16" s="30" t="s">
        <v>195</v>
      </c>
      <c r="B16" s="21"/>
      <c r="C16" s="21"/>
      <c r="D16" s="21"/>
      <c r="E16" s="21"/>
      <c r="F16" s="22"/>
    </row>
    <row r="18">
      <c r="A18" s="31" t="s">
        <v>196</v>
      </c>
      <c r="B18" s="21"/>
      <c r="C18" s="21"/>
      <c r="D18" s="21"/>
      <c r="E18" s="21"/>
      <c r="F18" s="22"/>
    </row>
    <row r="19" ht="21.75" customHeight="1">
      <c r="A19" s="32" t="s">
        <v>197</v>
      </c>
      <c r="B19" s="21"/>
      <c r="C19" s="21"/>
      <c r="D19" s="21"/>
      <c r="E19" s="21"/>
      <c r="F19" s="22"/>
    </row>
    <row r="20" ht="21.75" customHeight="1">
      <c r="A20" s="32" t="s">
        <v>198</v>
      </c>
      <c r="B20" s="21"/>
      <c r="C20" s="21"/>
      <c r="D20" s="21"/>
      <c r="E20" s="21"/>
      <c r="F20" s="22"/>
    </row>
    <row r="21" ht="21.75" customHeight="1">
      <c r="A21" s="32" t="s">
        <v>199</v>
      </c>
      <c r="B21" s="21"/>
      <c r="C21" s="21"/>
      <c r="D21" s="21"/>
      <c r="E21" s="21"/>
      <c r="F21" s="22"/>
    </row>
    <row r="22" ht="21.75" customHeight="1">
      <c r="A22" s="32" t="s">
        <v>200</v>
      </c>
      <c r="B22" s="21"/>
      <c r="C22" s="21"/>
      <c r="D22" s="21"/>
      <c r="E22" s="21"/>
      <c r="F22" s="2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5:F15"/>
    <mergeCell ref="A16:F16"/>
    <mergeCell ref="A18:F18"/>
    <mergeCell ref="A19:F19"/>
    <mergeCell ref="A20:F20"/>
    <mergeCell ref="A21:F21"/>
    <mergeCell ref="A22:F22"/>
    <mergeCell ref="A1:F1"/>
    <mergeCell ref="A9:F9"/>
    <mergeCell ref="A10:F10"/>
    <mergeCell ref="A11:F11"/>
    <mergeCell ref="A12:F12"/>
    <mergeCell ref="A13:F13"/>
    <mergeCell ref="A14:F14"/>
  </mergeCells>
  <printOptions/>
  <pageMargins bottom="1.0" footer="0.0" header="0.0" left="0.75" right="0.75" top="1.0"/>
  <pageSetup orientation="landscape"/>
  <drawing r:id="rId1"/>
</worksheet>
</file>